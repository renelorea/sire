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cuments\FRANTECH\MAESTRIA\2 SEMESTRE\INGENIERIA DE SOFTWARE\"/>
    </mc:Choice>
  </mc:AlternateContent>
  <xr:revisionPtr revIDLastSave="0" documentId="13_ncr:1_{290DCA92-E595-4C7C-9AAE-52463DA8B0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XXX" sheetId="2" r:id="rId1"/>
    <sheet name="Hoja1" sheetId="3" r:id="rId2"/>
  </sheets>
  <definedNames>
    <definedName name="_xlnm.Print_Area" localSheetId="0">XXXX!$A$5:$T$254</definedName>
    <definedName name="PorcentajeGastosIndirectos">#REF!</definedName>
    <definedName name="PorcentajeUtilidadProyectada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2" l="1"/>
  <c r="P202" i="2"/>
  <c r="O202" i="2"/>
  <c r="N202" i="2"/>
  <c r="M202" i="2"/>
  <c r="L202" i="2"/>
  <c r="K202" i="2"/>
  <c r="J202" i="2"/>
  <c r="I202" i="2"/>
  <c r="H202" i="2"/>
  <c r="G202" i="2"/>
  <c r="F202" i="2"/>
  <c r="E192" i="2"/>
  <c r="E191" i="2"/>
  <c r="E190" i="2"/>
  <c r="E189" i="2"/>
  <c r="E188" i="2"/>
  <c r="E187" i="2"/>
  <c r="E202" i="2" s="1"/>
  <c r="E211" i="2"/>
  <c r="E212" i="2"/>
  <c r="E213" i="2"/>
  <c r="E214" i="2"/>
  <c r="E215" i="2"/>
  <c r="E216" i="2"/>
  <c r="E217" i="2"/>
  <c r="E218" i="2"/>
  <c r="E219" i="2"/>
  <c r="E220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E226" i="2"/>
  <c r="E227" i="2"/>
  <c r="J46" i="2"/>
  <c r="E173" i="2"/>
  <c r="E221" i="2" l="1"/>
  <c r="E262" i="2"/>
  <c r="P113" i="2" s="1"/>
  <c r="E261" i="2"/>
  <c r="P112" i="2" s="1"/>
  <c r="E260" i="2"/>
  <c r="P111" i="2" s="1"/>
  <c r="E259" i="2"/>
  <c r="P110" i="2" s="1"/>
  <c r="E258" i="2"/>
  <c r="P109" i="2" s="1"/>
  <c r="E257" i="2"/>
  <c r="P108" i="2" s="1"/>
  <c r="L116" i="2"/>
  <c r="L115" i="2" l="1"/>
  <c r="L110" i="2"/>
  <c r="L109" i="2"/>
  <c r="L112" i="2"/>
  <c r="L111" i="2"/>
  <c r="L108" i="2"/>
  <c r="L113" i="2"/>
  <c r="L114" i="2"/>
  <c r="L117" i="2"/>
  <c r="Q272" i="2" l="1"/>
  <c r="P272" i="2"/>
  <c r="O272" i="2"/>
  <c r="N272" i="2"/>
  <c r="M272" i="2"/>
  <c r="L272" i="2"/>
  <c r="K272" i="2"/>
  <c r="J272" i="2"/>
  <c r="I272" i="2"/>
  <c r="H272" i="2"/>
  <c r="G272" i="2"/>
  <c r="F272" i="2"/>
  <c r="E272" i="2" l="1"/>
  <c r="K96" i="2" s="1"/>
  <c r="K97" i="2" s="1"/>
  <c r="K98" i="2" s="1"/>
  <c r="Q251" i="2" l="1"/>
  <c r="P251" i="2"/>
  <c r="O251" i="2"/>
  <c r="N251" i="2"/>
  <c r="M251" i="2"/>
  <c r="L251" i="2"/>
  <c r="K251" i="2"/>
  <c r="J251" i="2"/>
  <c r="I251" i="2"/>
  <c r="H251" i="2"/>
  <c r="G251" i="2"/>
  <c r="F251" i="2"/>
  <c r="Q236" i="2"/>
  <c r="P236" i="2"/>
  <c r="O236" i="2"/>
  <c r="N236" i="2"/>
  <c r="M236" i="2"/>
  <c r="L236" i="2"/>
  <c r="K236" i="2"/>
  <c r="J236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1" i="2" s="1"/>
  <c r="E182" i="2"/>
  <c r="E180" i="2"/>
  <c r="E179" i="2"/>
  <c r="E178" i="2"/>
  <c r="E177" i="2"/>
  <c r="E176" i="2"/>
  <c r="E175" i="2"/>
  <c r="E174" i="2"/>
  <c r="H108" i="2"/>
  <c r="P128" i="2"/>
  <c r="H118" i="2" l="1"/>
  <c r="G122" i="2" s="1"/>
  <c r="G123" i="2" s="1"/>
  <c r="E251" i="2"/>
  <c r="E183" i="2"/>
  <c r="E79" i="2" l="1"/>
  <c r="E161" i="2"/>
  <c r="E162" i="2"/>
  <c r="E163" i="2"/>
  <c r="E164" i="2"/>
  <c r="E165" i="2"/>
  <c r="E166" i="2"/>
  <c r="E168" i="2"/>
  <c r="E148" i="2"/>
  <c r="E149" i="2"/>
  <c r="E150" i="2"/>
  <c r="E151" i="2"/>
  <c r="E152" i="2"/>
  <c r="E154" i="2"/>
  <c r="E138" i="2"/>
  <c r="I236" i="2" l="1"/>
  <c r="H236" i="2"/>
  <c r="G236" i="2"/>
  <c r="F236" i="2"/>
  <c r="E235" i="2"/>
  <c r="E234" i="2"/>
  <c r="E233" i="2"/>
  <c r="E232" i="2"/>
  <c r="E231" i="2"/>
  <c r="E230" i="2"/>
  <c r="E229" i="2"/>
  <c r="E228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7" i="2" s="1"/>
  <c r="E160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47" i="2"/>
  <c r="E146" i="2"/>
  <c r="E153" i="2" l="1"/>
  <c r="E155" i="2" s="1"/>
  <c r="D108" i="2"/>
  <c r="E236" i="2"/>
  <c r="E169" i="2"/>
  <c r="D113" i="2"/>
  <c r="O128" i="2" l="1"/>
  <c r="N128" i="2"/>
  <c r="M128" i="2"/>
  <c r="L127" i="2"/>
  <c r="L126" i="2"/>
  <c r="L125" i="2"/>
  <c r="L124" i="2"/>
  <c r="L123" i="2"/>
  <c r="L122" i="2"/>
  <c r="L121" i="2"/>
  <c r="L120" i="2"/>
  <c r="L119" i="2"/>
  <c r="L118" i="2"/>
  <c r="L128" i="2" l="1"/>
  <c r="D110" i="2" l="1"/>
  <c r="D111" i="2"/>
  <c r="D112" i="2"/>
  <c r="D114" i="2"/>
  <c r="D115" i="2"/>
  <c r="D116" i="2"/>
  <c r="D117" i="2"/>
  <c r="E118" i="2"/>
  <c r="G118" i="2"/>
  <c r="E134" i="2"/>
  <c r="P141" i="2"/>
  <c r="Q141" i="2"/>
  <c r="E135" i="2"/>
  <c r="E136" i="2"/>
  <c r="E137" i="2"/>
  <c r="E140" i="2"/>
  <c r="F141" i="2"/>
  <c r="G141" i="2"/>
  <c r="H141" i="2"/>
  <c r="J141" i="2"/>
  <c r="K141" i="2"/>
  <c r="L141" i="2"/>
  <c r="M141" i="2"/>
  <c r="N141" i="2"/>
  <c r="O141" i="2"/>
  <c r="D109" i="2"/>
  <c r="I141" i="2" l="1"/>
  <c r="E139" i="2" s="1"/>
  <c r="E141" i="2" s="1"/>
  <c r="F118" i="2" l="1"/>
  <c r="D118" i="2"/>
  <c r="C122" i="2" s="1"/>
  <c r="C1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Brenda Luna</author>
  </authors>
  <commentList>
    <comment ref="D187" authorId="0" shapeId="0" xr:uid="{EB083FDC-EB73-4891-A08F-B0C7D22D5C39}">
      <text>
        <r>
          <rPr>
            <b/>
            <sz val="9"/>
            <color rgb="FF000000"/>
            <rFont val="Tahoma"/>
            <family val="2"/>
          </rPr>
          <t xml:space="preserve">Poroveedores externos
</t>
        </r>
        <r>
          <rPr>
            <b/>
            <sz val="9"/>
            <color rgb="FF000000"/>
            <rFont val="Tahoma"/>
            <family val="2"/>
          </rPr>
          <t>Equipos de computo</t>
        </r>
      </text>
    </comment>
    <comment ref="D188" authorId="0" shapeId="0" xr:uid="{42586C4D-DAE1-4B53-8D1C-0CDE97D82EC3}">
      <text>
        <r>
          <rPr>
            <b/>
            <sz val="9"/>
            <color rgb="FF000000"/>
            <rFont val="Tahoma"/>
            <family val="2"/>
          </rPr>
          <t xml:space="preserve">Eventuales
</t>
        </r>
      </text>
    </comment>
    <comment ref="D189" authorId="0" shapeId="0" xr:uid="{4791012F-066F-47A0-93A7-D4D6A715FE83}">
      <text>
        <r>
          <rPr>
            <b/>
            <sz val="9"/>
            <color rgb="FF000000"/>
            <rFont val="Tahoma"/>
            <family val="2"/>
          </rPr>
          <t xml:space="preserve">ISR mensual
</t>
        </r>
      </text>
    </comment>
    <comment ref="D190" authorId="0" shapeId="0" xr:uid="{8AD4B144-CB60-47F7-AF3C-02AFA98DA921}">
      <text>
        <r>
          <rPr>
            <b/>
            <sz val="9"/>
            <color rgb="FF000000"/>
            <rFont val="Tahoma"/>
            <family val="2"/>
          </rPr>
          <t xml:space="preserve">PSP
</t>
        </r>
      </text>
    </comment>
    <comment ref="D191" authorId="0" shapeId="0" xr:uid="{28A16F34-45C4-4E79-973E-7514009760A9}">
      <text>
        <r>
          <rPr>
            <b/>
            <sz val="9"/>
            <color rgb="FF000000"/>
            <rFont val="Tahoma"/>
            <family val="2"/>
          </rPr>
          <t xml:space="preserve">Papeleria
</t>
        </r>
      </text>
    </comment>
    <comment ref="D192" authorId="0" shapeId="0" xr:uid="{630E9DCE-9E94-42CF-B52D-04D7C91BF610}">
      <text>
        <r>
          <rPr>
            <b/>
            <sz val="9"/>
            <color rgb="FF000000"/>
            <rFont val="Tahoma"/>
            <family val="2"/>
          </rPr>
          <t xml:space="preserve">Gasolina
</t>
        </r>
      </text>
    </comment>
    <comment ref="D193" authorId="0" shapeId="0" xr:uid="{C960374E-3F70-4032-9A63-C4F17544F9C1}">
      <text>
        <r>
          <rPr>
            <b/>
            <sz val="9"/>
            <color rgb="FF000000"/>
            <rFont val="Tahoma"/>
            <family val="2"/>
          </rPr>
          <t xml:space="preserve">Viáticos
</t>
        </r>
      </text>
    </comment>
    <comment ref="D194" authorId="0" shapeId="0" xr:uid="{05FE0026-706A-4CF8-B5AC-ED6DE08906A9}">
      <text>
        <r>
          <rPr>
            <b/>
            <sz val="9"/>
            <color rgb="FF000000"/>
            <rFont val="Tahoma"/>
            <family val="2"/>
          </rPr>
          <t xml:space="preserve">Peajes y transporte
</t>
        </r>
      </text>
    </comment>
    <comment ref="D195" authorId="0" shapeId="0" xr:uid="{F1A11EB7-4351-4527-AD92-6B0AF20FA9F5}">
      <text>
        <r>
          <rPr>
            <b/>
            <sz val="9"/>
            <color rgb="FF000000"/>
            <rFont val="Tahoma"/>
            <family val="2"/>
          </rPr>
          <t xml:space="preserve">Arrendamiento autos
</t>
        </r>
      </text>
    </comment>
    <comment ref="D196" authorId="1" shapeId="0" xr:uid="{95EF8D90-A34C-4676-8056-F21CB4B1757A}">
      <text>
        <r>
          <rPr>
            <b/>
            <sz val="9"/>
            <color rgb="FF000000"/>
            <rFont val="Tahoma"/>
            <family val="2"/>
          </rPr>
          <t xml:space="preserve">Brenda Luna:
</t>
        </r>
        <r>
          <rPr>
            <b/>
            <sz val="9"/>
            <color rgb="FF000000"/>
            <rFont val="Tahoma"/>
            <family val="2"/>
          </rPr>
          <t xml:space="preserve">Pago al provedoor </t>
        </r>
      </text>
    </comment>
    <comment ref="D24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Poroveedores externos
Equipos de computo</t>
        </r>
      </text>
    </comment>
    <comment ref="D242" authorId="0" shapeId="0" xr:uid="{00000000-0006-0000-0000-00000C000000}">
      <text>
        <r>
          <rPr>
            <b/>
            <sz val="9"/>
            <color rgb="FF000000"/>
            <rFont val="Tahoma"/>
            <family val="2"/>
          </rPr>
          <t xml:space="preserve">Eventuales
</t>
        </r>
      </text>
    </comment>
    <comment ref="D24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ISR mensual
</t>
        </r>
      </text>
    </comment>
    <comment ref="D24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PSP
</t>
        </r>
      </text>
    </comment>
    <comment ref="D245" authorId="0" shapeId="0" xr:uid="{00000000-0006-0000-0000-00000F000000}">
      <text>
        <r>
          <rPr>
            <b/>
            <sz val="9"/>
            <color rgb="FF000000"/>
            <rFont val="Tahoma"/>
            <family val="2"/>
          </rPr>
          <t xml:space="preserve">Papeleria
</t>
        </r>
      </text>
    </comment>
    <comment ref="D246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Gasolina
</t>
        </r>
      </text>
    </comment>
    <comment ref="D247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Viáticos
</t>
        </r>
      </text>
    </comment>
    <comment ref="D248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Peajes y transporte
</t>
        </r>
      </text>
    </comment>
    <comment ref="D249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Arrendamiento autos
</t>
        </r>
      </text>
    </comment>
    <comment ref="D250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Brenda Luna:
Pago al provedoor </t>
        </r>
      </text>
    </comment>
    <comment ref="D257" authorId="0" shapeId="0" xr:uid="{00000000-0006-0000-0000-000015000000}">
      <text>
        <r>
          <rPr>
            <b/>
            <sz val="9"/>
            <color rgb="FF000000"/>
            <rFont val="Tahoma"/>
            <family val="2"/>
          </rPr>
          <t xml:space="preserve">Poroveedores externos
</t>
        </r>
        <r>
          <rPr>
            <b/>
            <sz val="9"/>
            <color rgb="FF000000"/>
            <rFont val="Tahoma"/>
            <family val="2"/>
          </rPr>
          <t>Equipos de computo</t>
        </r>
      </text>
    </comment>
    <comment ref="D258" authorId="0" shapeId="0" xr:uid="{00000000-0006-0000-0000-000016000000}">
      <text>
        <r>
          <rPr>
            <b/>
            <sz val="9"/>
            <color rgb="FF000000"/>
            <rFont val="Tahoma"/>
            <family val="2"/>
          </rPr>
          <t xml:space="preserve">Eventuales
</t>
        </r>
      </text>
    </comment>
    <comment ref="D259" authorId="0" shapeId="0" xr:uid="{00000000-0006-0000-0000-000017000000}">
      <text>
        <r>
          <rPr>
            <b/>
            <sz val="9"/>
            <color rgb="FF000000"/>
            <rFont val="Tahoma"/>
            <family val="2"/>
          </rPr>
          <t xml:space="preserve">ISR mensual
</t>
        </r>
      </text>
    </comment>
    <comment ref="D260" authorId="0" shapeId="0" xr:uid="{00000000-0006-0000-0000-000018000000}">
      <text>
        <r>
          <rPr>
            <b/>
            <sz val="9"/>
            <color rgb="FF000000"/>
            <rFont val="Tahoma"/>
            <family val="2"/>
          </rPr>
          <t xml:space="preserve">PSP
</t>
        </r>
      </text>
    </comment>
    <comment ref="D261" authorId="0" shapeId="0" xr:uid="{00000000-0006-0000-0000-000019000000}">
      <text>
        <r>
          <rPr>
            <b/>
            <sz val="9"/>
            <color rgb="FF000000"/>
            <rFont val="Tahoma"/>
            <family val="2"/>
          </rPr>
          <t xml:space="preserve">Papeleria
</t>
        </r>
      </text>
    </comment>
    <comment ref="D262" authorId="0" shapeId="0" xr:uid="{00000000-0006-0000-0000-00001A000000}">
      <text>
        <r>
          <rPr>
            <b/>
            <sz val="9"/>
            <color rgb="FF000000"/>
            <rFont val="Tahoma"/>
            <family val="2"/>
          </rPr>
          <t xml:space="preserve">Gasolina
</t>
        </r>
      </text>
    </comment>
    <comment ref="D263" authorId="0" shapeId="0" xr:uid="{00000000-0006-0000-0000-00001B000000}">
      <text>
        <r>
          <rPr>
            <b/>
            <sz val="9"/>
            <color rgb="FF000000"/>
            <rFont val="Tahoma"/>
            <family val="2"/>
          </rPr>
          <t xml:space="preserve">Viáticos
</t>
        </r>
      </text>
    </comment>
    <comment ref="D264" authorId="0" shapeId="0" xr:uid="{00000000-0006-0000-0000-00001C000000}">
      <text>
        <r>
          <rPr>
            <b/>
            <sz val="9"/>
            <color rgb="FF000000"/>
            <rFont val="Tahoma"/>
            <family val="2"/>
          </rPr>
          <t xml:space="preserve">Peajes y transporte
</t>
        </r>
      </text>
    </comment>
    <comment ref="D265" authorId="0" shapeId="0" xr:uid="{00000000-0006-0000-0000-00001D000000}">
      <text>
        <r>
          <rPr>
            <b/>
            <sz val="9"/>
            <color rgb="FF000000"/>
            <rFont val="Tahoma"/>
            <family val="2"/>
          </rPr>
          <t xml:space="preserve">Arrendamiento autos
</t>
        </r>
      </text>
    </comment>
    <comment ref="D266" authorId="1" shapeId="0" xr:uid="{00000000-0006-0000-0000-00001E000000}">
      <text>
        <r>
          <rPr>
            <b/>
            <sz val="9"/>
            <color rgb="FF000000"/>
            <rFont val="Tahoma"/>
            <family val="2"/>
          </rPr>
          <t xml:space="preserve">Brenda Luna:
</t>
        </r>
        <r>
          <rPr>
            <b/>
            <sz val="9"/>
            <color rgb="FF000000"/>
            <rFont val="Tahoma"/>
            <family val="2"/>
          </rPr>
          <t xml:space="preserve">Pago al provedoor </t>
        </r>
      </text>
    </comment>
  </commentList>
</comments>
</file>

<file path=xl/sharedStrings.xml><?xml version="1.0" encoding="utf-8"?>
<sst xmlns="http://schemas.openxmlformats.org/spreadsheetml/2006/main" count="328" uniqueCount="135">
  <si>
    <t>DIRECCIÓN ADJUNTA DE ADMINISTRACIÓN</t>
  </si>
  <si>
    <t>SUBGERENCIA DE RECURSOS FINANCIEROS</t>
  </si>
  <si>
    <t>Ejercicio</t>
  </si>
  <si>
    <t>1. Información General del proyecto.</t>
  </si>
  <si>
    <t>Cliente</t>
  </si>
  <si>
    <t>Proyecto</t>
  </si>
  <si>
    <t>Número del proyecto</t>
  </si>
  <si>
    <t>Nombre del servicio</t>
  </si>
  <si>
    <t>Inicio del servicio</t>
  </si>
  <si>
    <t>Conclusión del servicio</t>
  </si>
  <si>
    <t>Área responsable</t>
  </si>
  <si>
    <t>Director responsable del proyecto</t>
  </si>
  <si>
    <t>Número de contrato</t>
  </si>
  <si>
    <t>RFC</t>
  </si>
  <si>
    <t>Tipo de proyecto</t>
  </si>
  <si>
    <t>Período contractual</t>
  </si>
  <si>
    <t>Periodo de garantía</t>
  </si>
  <si>
    <t>Inicio</t>
  </si>
  <si>
    <t>Término</t>
  </si>
  <si>
    <t>Periodo de ampliación</t>
  </si>
  <si>
    <t>Temporalidad</t>
  </si>
  <si>
    <t>Cantidad</t>
  </si>
  <si>
    <t>Meses</t>
  </si>
  <si>
    <t>Garantía</t>
  </si>
  <si>
    <t>Cargo</t>
  </si>
  <si>
    <t>Firma</t>
  </si>
  <si>
    <t>Nombre</t>
  </si>
  <si>
    <t>(%) Utilidad Proyectada</t>
  </si>
  <si>
    <t>(%) Gastos Indirectos</t>
  </si>
  <si>
    <t>* Incluye Infraestructura e Insumos Propios "del Proyecto"</t>
  </si>
  <si>
    <t>2. Resumen de Ingresos y egresos del proyecto por ejercicio fiscal.</t>
  </si>
  <si>
    <t>Estimación de utilidad mínima y máxima</t>
  </si>
  <si>
    <t>Utilidad</t>
  </si>
  <si>
    <t>Ingreso (sin IVA)</t>
  </si>
  <si>
    <t>Egreso (sin IVA)</t>
  </si>
  <si>
    <t xml:space="preserve">Utilidad </t>
  </si>
  <si>
    <t>Margen de utilidad</t>
  </si>
  <si>
    <t>Justificación</t>
  </si>
  <si>
    <t>Ingreso mínimo total</t>
  </si>
  <si>
    <t>Área</t>
  </si>
  <si>
    <t>Total</t>
  </si>
  <si>
    <t>Suma</t>
  </si>
  <si>
    <t>Egreso mínimo total</t>
  </si>
  <si>
    <t>Partida</t>
  </si>
  <si>
    <t>Margen</t>
  </si>
  <si>
    <t>3. Información del Ingresos del proyecto a nivel calendario.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</si>
  <si>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</si>
  <si>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</si>
  <si>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</si>
  <si>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</si>
  <si>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</si>
  <si>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</si>
  <si>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</si>
  <si>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</si>
  <si>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</si>
  <si>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</si>
  <si>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</si>
  <si>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</si>
  <si>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Elaboro:</t>
  </si>
  <si>
    <t>Servicio</t>
  </si>
  <si>
    <t xml:space="preserve">CONTROL ACTUALIZACIONES </t>
  </si>
  <si>
    <t xml:space="preserve">MODIFICACION </t>
  </si>
  <si>
    <t>NUM.MODIFICACION</t>
  </si>
  <si>
    <t>ELABORO</t>
  </si>
  <si>
    <t xml:space="preserve">FECHA MODIFICACION </t>
  </si>
  <si>
    <t xml:space="preserve">FECHA ELABORACION </t>
  </si>
  <si>
    <t xml:space="preserve">EJERCICIO </t>
  </si>
  <si>
    <t xml:space="preserve">AREA RESPONSABLE PROYECTO </t>
  </si>
  <si>
    <t>Capitulo 1000</t>
  </si>
  <si>
    <t>Capitulo 2000</t>
  </si>
  <si>
    <t>NOTA: si el ejercicio ya esta concluido colocar el monto real finalizado de cada ejercicio</t>
  </si>
  <si>
    <t>INFORMACIÓN GENERAL DEL PROYECTO</t>
  </si>
  <si>
    <t xml:space="preserve">Administrador del Proyecto </t>
  </si>
  <si>
    <t>TEMPORALIDAD DEL PROYECTO</t>
  </si>
  <si>
    <t>VERSION ANTERIOR</t>
  </si>
  <si>
    <t>ADMINISTRADOR DEL PROYECTO</t>
  </si>
  <si>
    <t>AUTORIZADOR DEL PROYECTO</t>
  </si>
  <si>
    <t>AREA INVOLUCRADA</t>
  </si>
  <si>
    <t>OBSERVACIONES</t>
  </si>
  <si>
    <t>DESCRIPCIÓN</t>
  </si>
  <si>
    <t>PORCENTAJE</t>
  </si>
  <si>
    <t>DETALLE DE INGRESO 2022</t>
  </si>
  <si>
    <t>DETALLE DE INGRESO 2023</t>
  </si>
  <si>
    <t>DETALLE DE INGRESO 2024</t>
  </si>
  <si>
    <t>DETALLE DE EGRESOS 2024</t>
  </si>
  <si>
    <t>DETALLE DE INGRESO 2025</t>
  </si>
  <si>
    <t>DETALLE DE EGRESO 2022</t>
  </si>
  <si>
    <t>DETALLE DE EGRESOS 2023</t>
  </si>
  <si>
    <t>DETALLE DE EGRESOS 2025</t>
  </si>
  <si>
    <t>Indique claramente las modificaciones en cada actualización del formato.</t>
  </si>
  <si>
    <t>Brenda Monserrath Luna Sánchez</t>
  </si>
  <si>
    <t>BRENDA MONSERRATH LUNA SÁNCHEZ</t>
  </si>
  <si>
    <t>COMERCIAL</t>
  </si>
  <si>
    <t xml:space="preserve">Consultor Asistente </t>
  </si>
  <si>
    <t xml:space="preserve">Brenda Monserrath Luna Sánchez </t>
  </si>
  <si>
    <t xml:space="preserve">Gerencia de Consultoría Estratégica </t>
  </si>
  <si>
    <t xml:space="preserve">Edgar Adolfo López Sansón </t>
  </si>
  <si>
    <t>DIRECTOR ADJUNTO DE COMPETITIVIDAD</t>
  </si>
  <si>
    <t xml:space="preserve">JESÚS RÍOS MAGOS </t>
  </si>
  <si>
    <t xml:space="preserve"> </t>
  </si>
  <si>
    <t xml:space="preserve">SUBGERENTE DE OPERACIÓN </t>
  </si>
  <si>
    <t xml:space="preserve">LIC.MÓNICA SALGUERO OSUNA </t>
  </si>
  <si>
    <t>DIRECTOR ADJUNTO DE DESARROLLO TECNÓLOGICO</t>
  </si>
  <si>
    <t>Capitulo 3000
Partida 33301</t>
  </si>
  <si>
    <t>Capitulo 3000
Partida 32301</t>
  </si>
  <si>
    <t xml:space="preserve">                                                                                      </t>
  </si>
  <si>
    <t>BRENDA MONSERRATH LUNA SANCHEZ</t>
  </si>
  <si>
    <t>LIC.GRISSEL CAMILA HUERTA SAQUERO</t>
  </si>
  <si>
    <t>SUBGERENTE DE RECUERSOS HUMANOS</t>
  </si>
  <si>
    <t>EUSTASIO SÁNCHEZ MONTESINOS</t>
  </si>
  <si>
    <t>ESCUELA PREPARATORIA DEL ESTADO DE MEXICO</t>
  </si>
  <si>
    <t>RUTEADORES DE GAMA BAJA SISTEMA DE REPORTE DE INCIDENCIAS(SIRE)</t>
  </si>
  <si>
    <t>Desarrollo de Software</t>
  </si>
  <si>
    <t>DESARROLLO DE SOFTWARE</t>
  </si>
  <si>
    <t>DES0001</t>
  </si>
  <si>
    <t/>
  </si>
  <si>
    <t>ELEMENTO</t>
  </si>
  <si>
    <t>MATERIALES</t>
  </si>
  <si>
    <t>MATERIALES(EQUIPOS DE COMPUTO)</t>
  </si>
  <si>
    <t>LIDER DE PROYECTO</t>
  </si>
  <si>
    <t>DESARROLLADOR FRONT END</t>
  </si>
  <si>
    <t>DESARROLLADOR BACK END</t>
  </si>
  <si>
    <t>TIPO</t>
  </si>
  <si>
    <t>PERSONAL</t>
  </si>
  <si>
    <t>LICENCIAS</t>
  </si>
  <si>
    <t>OFICCE,CHAT GPT</t>
  </si>
  <si>
    <t>VIAJES</t>
  </si>
  <si>
    <t>TRANSPORTE</t>
  </si>
  <si>
    <t>TOTAL</t>
  </si>
  <si>
    <t>PLANTILLA DE PRESUPUESTO</t>
  </si>
  <si>
    <t>ADMINISTRACION DEL PROYECTO</t>
  </si>
  <si>
    <t>IMPORTE TOTAL DEL PROYECTO</t>
  </si>
  <si>
    <t>BLR SOFTWARE DEVELOPMENT</t>
  </si>
  <si>
    <t>MATERIALES (EQUIPOS DE COMPUTO)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</si>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</sst>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28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8"/>
      <color rgb="FF000000"/>
      <name val="Montserrat"/>
    </font>
    <font>
      <sz val="11"/>
      <color rgb="FF000000"/>
      <name val="Montserrat"/>
    </font>
    <font>
      <b/>
      <u/>
      <sz val="16"/>
      <color rgb="FF000000"/>
      <name val="Montserrat"/>
    </font>
    <font>
      <b/>
      <i/>
      <sz val="11"/>
      <color rgb="FF000000"/>
      <name val="Montserrat"/>
    </font>
    <font>
      <b/>
      <sz val="11"/>
      <color rgb="FF000000"/>
      <name val="Montserrat"/>
    </font>
    <font>
      <b/>
      <sz val="11"/>
      <color theme="0"/>
      <name val="Montserrat"/>
    </font>
    <font>
      <sz val="10"/>
      <color rgb="FF000000"/>
      <name val="Calibri"/>
      <family val="2"/>
      <charset val="1"/>
    </font>
    <font>
      <sz val="10"/>
      <color rgb="FF000000"/>
      <name val="Monserrat"/>
    </font>
    <font>
      <sz val="11"/>
      <color rgb="FF000000"/>
      <name val="Monserrat"/>
    </font>
    <font>
      <b/>
      <sz val="9"/>
      <color theme="1"/>
      <name val="Monserrat"/>
    </font>
    <font>
      <sz val="9"/>
      <color rgb="FF000000"/>
      <name val="Calibri"/>
      <family val="2"/>
      <charset val="1"/>
    </font>
    <font>
      <b/>
      <sz val="10"/>
      <color rgb="FF000000"/>
      <name val="Monserrat"/>
    </font>
    <font>
      <sz val="8"/>
      <color rgb="FF000000"/>
      <name val="Calibri"/>
      <family val="2"/>
      <charset val="1"/>
    </font>
    <font>
      <sz val="11"/>
      <color theme="0"/>
      <name val="Montserrat"/>
    </font>
    <font>
      <sz val="11"/>
      <color theme="1"/>
      <name val="Liberation Sans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9"/>
      <color rgb="FF000000"/>
      <name val="Montserrat"/>
    </font>
    <font>
      <sz val="10"/>
      <color rgb="FF000000"/>
      <name val="Montserrat"/>
    </font>
    <font>
      <b/>
      <sz val="11"/>
      <color rgb="FF000000"/>
      <name val="Calibri"/>
      <family val="2"/>
      <charset val="1"/>
    </font>
    <font>
      <b/>
      <sz val="9"/>
      <color indexed="81"/>
      <name val="Tahoma"/>
      <family val="2"/>
    </font>
    <font>
      <b/>
      <sz val="8"/>
      <color rgb="FF000000"/>
      <name val="Monserrat"/>
    </font>
    <font>
      <b/>
      <sz val="8"/>
      <color rgb="FF000000"/>
      <name val="Montserrat"/>
    </font>
    <font>
      <b/>
      <sz val="9"/>
      <color rgb="FF000000"/>
      <name val="Tahoma"/>
      <family val="2"/>
    </font>
    <font>
      <sz val="24"/>
      <color rgb="FF000000"/>
      <name val="Montserrat"/>
    </font>
    <font>
      <b/>
      <sz val="11"/>
      <color theme="4" tint="0.399975585192419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211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Border="0" applyProtection="0"/>
    <xf numFmtId="44" fontId="1" fillId="0" borderId="0" applyFont="0" applyFill="0" applyBorder="0" applyAlignment="0" applyProtection="0"/>
    <xf numFmtId="0" fontId="16" fillId="0" borderId="0"/>
  </cellStyleXfs>
  <cellXfs count="19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8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10" fontId="9" fillId="0" borderId="0" xfId="2" applyNumberFormat="1" applyFont="1" applyBorder="1" applyAlignment="1" applyProtection="1">
      <alignment horizontal="center" vertical="center"/>
      <protection locked="0"/>
    </xf>
    <xf numFmtId="0" fontId="9" fillId="0" borderId="0" xfId="0" applyFont="1"/>
    <xf numFmtId="0" fontId="9" fillId="0" borderId="0" xfId="0" applyFont="1" applyAlignment="1">
      <alignment horizontal="center"/>
    </xf>
    <xf numFmtId="9" fontId="8" fillId="0" borderId="0" xfId="0" applyNumberFormat="1" applyFont="1"/>
    <xf numFmtId="0" fontId="12" fillId="0" borderId="0" xfId="0" applyFont="1"/>
    <xf numFmtId="0" fontId="14" fillId="0" borderId="0" xfId="0" applyFont="1" applyAlignment="1">
      <alignment horizontal="left"/>
    </xf>
    <xf numFmtId="0" fontId="3" fillId="0" borderId="0" xfId="0" quotePrefix="1" applyFont="1" applyAlignment="1">
      <alignment horizontal="justify" wrapText="1"/>
    </xf>
    <xf numFmtId="0" fontId="17" fillId="2" borderId="4" xfId="4" applyFont="1" applyFill="1" applyBorder="1" applyAlignment="1">
      <alignment horizontal="center" vertical="center"/>
    </xf>
    <xf numFmtId="0" fontId="17" fillId="2" borderId="5" xfId="4" applyFont="1" applyFill="1" applyBorder="1" applyAlignment="1">
      <alignment horizontal="center" vertical="center"/>
    </xf>
    <xf numFmtId="0" fontId="17" fillId="3" borderId="0" xfId="4" applyFont="1" applyFill="1" applyAlignment="1">
      <alignment horizontal="center" vertical="center"/>
    </xf>
    <xf numFmtId="0" fontId="3" fillId="0" borderId="0" xfId="0" quotePrefix="1" applyFont="1" applyAlignment="1">
      <alignment horizontal="center" vertical="top" wrapText="1"/>
    </xf>
    <xf numFmtId="0" fontId="3" fillId="0" borderId="0" xfId="0" quotePrefix="1" applyFont="1" applyAlignment="1">
      <alignment horizontal="center" vertical="center" wrapText="1"/>
    </xf>
    <xf numFmtId="0" fontId="3" fillId="3" borderId="0" xfId="0" applyFont="1" applyFill="1" applyAlignment="1">
      <alignment horizontal="center" vertical="top"/>
    </xf>
    <xf numFmtId="0" fontId="17" fillId="3" borderId="0" xfId="4" applyFont="1" applyFill="1" applyAlignment="1">
      <alignment vertical="center"/>
    </xf>
    <xf numFmtId="0" fontId="3" fillId="3" borderId="0" xfId="0" quotePrefix="1" applyFont="1" applyFill="1" applyAlignment="1">
      <alignment horizontal="center" vertical="top"/>
    </xf>
    <xf numFmtId="0" fontId="3" fillId="3" borderId="0" xfId="0" applyFont="1" applyFill="1"/>
    <xf numFmtId="0" fontId="7" fillId="3" borderId="0" xfId="0" applyFont="1" applyFill="1" applyAlignment="1">
      <alignment vertical="top"/>
    </xf>
    <xf numFmtId="0" fontId="17" fillId="2" borderId="25" xfId="4" applyFont="1" applyFill="1" applyBorder="1" applyAlignment="1">
      <alignment horizontal="center" vertical="center"/>
    </xf>
    <xf numFmtId="0" fontId="3" fillId="0" borderId="0" xfId="0" quotePrefix="1" applyFont="1" applyAlignment="1">
      <alignment vertical="top" wrapText="1"/>
    </xf>
    <xf numFmtId="0" fontId="3" fillId="3" borderId="11" xfId="0" applyFont="1" applyFill="1" applyBorder="1" applyAlignment="1">
      <alignment horizontal="center" vertical="top"/>
    </xf>
    <xf numFmtId="0" fontId="3" fillId="3" borderId="0" xfId="0" quotePrefix="1" applyFont="1" applyFill="1" applyAlignment="1">
      <alignment vertical="top" wrapText="1"/>
    </xf>
    <xf numFmtId="0" fontId="15" fillId="0" borderId="0" xfId="0" applyFont="1"/>
    <xf numFmtId="44" fontId="3" fillId="3" borderId="1" xfId="3" applyFont="1" applyFill="1" applyBorder="1" applyAlignment="1">
      <alignment horizontal="center" vertical="center"/>
    </xf>
    <xf numFmtId="0" fontId="3" fillId="0" borderId="34" xfId="0" applyFont="1" applyBorder="1"/>
    <xf numFmtId="0" fontId="3" fillId="0" borderId="35" xfId="0" applyFont="1" applyBorder="1"/>
    <xf numFmtId="43" fontId="13" fillId="3" borderId="12" xfId="0" applyNumberFormat="1" applyFont="1" applyFill="1" applyBorder="1" applyAlignment="1">
      <alignment horizontal="right"/>
    </xf>
    <xf numFmtId="1" fontId="3" fillId="3" borderId="0" xfId="0" quotePrefix="1" applyNumberFormat="1" applyFont="1" applyFill="1" applyAlignment="1">
      <alignment horizontal="center" vertical="top"/>
    </xf>
    <xf numFmtId="4" fontId="3" fillId="3" borderId="0" xfId="0" quotePrefix="1" applyNumberFormat="1" applyFont="1" applyFill="1" applyAlignment="1">
      <alignment horizontal="center" vertical="top"/>
    </xf>
    <xf numFmtId="1" fontId="3" fillId="3" borderId="10" xfId="0" quotePrefix="1" applyNumberFormat="1" applyFont="1" applyFill="1" applyBorder="1" applyAlignment="1">
      <alignment horizontal="center" vertical="top"/>
    </xf>
    <xf numFmtId="0" fontId="3" fillId="3" borderId="11" xfId="0" quotePrefix="1" applyFont="1" applyFill="1" applyBorder="1" applyAlignment="1">
      <alignment horizontal="center" vertical="top"/>
    </xf>
    <xf numFmtId="4" fontId="3" fillId="3" borderId="11" xfId="0" quotePrefix="1" applyNumberFormat="1" applyFont="1" applyFill="1" applyBorder="1" applyAlignment="1">
      <alignment horizontal="center" vertical="top"/>
    </xf>
    <xf numFmtId="1" fontId="3" fillId="3" borderId="10" xfId="0" applyNumberFormat="1" applyFont="1" applyFill="1" applyBorder="1" applyAlignment="1">
      <alignment horizontal="center" vertical="top"/>
    </xf>
    <xf numFmtId="1" fontId="3" fillId="3" borderId="11" xfId="0" quotePrefix="1" applyNumberFormat="1" applyFont="1" applyFill="1" applyBorder="1" applyAlignment="1">
      <alignment horizontal="center" vertical="top"/>
    </xf>
    <xf numFmtId="4" fontId="3" fillId="3" borderId="10" xfId="0" quotePrefix="1" applyNumberFormat="1" applyFont="1" applyFill="1" applyBorder="1" applyAlignment="1">
      <alignment horizontal="center" vertical="top"/>
    </xf>
    <xf numFmtId="4" fontId="3" fillId="3" borderId="12" xfId="0" quotePrefix="1" applyNumberFormat="1" applyFont="1" applyFill="1" applyBorder="1" applyAlignment="1">
      <alignment horizontal="center" vertical="top"/>
    </xf>
    <xf numFmtId="0" fontId="3" fillId="3" borderId="10" xfId="0" quotePrefix="1" applyFont="1" applyFill="1" applyBorder="1" applyAlignment="1">
      <alignment horizontal="center" vertical="top"/>
    </xf>
    <xf numFmtId="0" fontId="3" fillId="3" borderId="43" xfId="0" quotePrefix="1" applyFont="1" applyFill="1" applyBorder="1" applyAlignment="1">
      <alignment horizontal="center" vertical="top"/>
    </xf>
    <xf numFmtId="10" fontId="1" fillId="3" borderId="0" xfId="2" quotePrefix="1" applyNumberFormat="1" applyFill="1" applyBorder="1"/>
    <xf numFmtId="0" fontId="3" fillId="0" borderId="20" xfId="0" quotePrefix="1" applyFont="1" applyBorder="1" applyAlignment="1">
      <alignment horizontal="center" vertical="center" wrapText="1"/>
    </xf>
    <xf numFmtId="0" fontId="3" fillId="0" borderId="24" xfId="0" quotePrefix="1" applyFont="1" applyBorder="1" applyAlignment="1">
      <alignment horizontal="center" vertical="center" wrapText="1"/>
    </xf>
    <xf numFmtId="0" fontId="1" fillId="0" borderId="25" xfId="2" quotePrefix="1" applyNumberFormat="1" applyBorder="1" applyAlignment="1">
      <alignment horizontal="center"/>
    </xf>
    <xf numFmtId="14" fontId="0" fillId="0" borderId="25" xfId="2" quotePrefix="1" applyNumberFormat="1" applyFont="1" applyBorder="1"/>
    <xf numFmtId="44" fontId="19" fillId="3" borderId="1" xfId="3" applyFont="1" applyFill="1" applyBorder="1" applyAlignment="1">
      <alignment horizontal="center" vertical="center"/>
    </xf>
    <xf numFmtId="9" fontId="1" fillId="0" borderId="0" xfId="2"/>
    <xf numFmtId="44" fontId="20" fillId="0" borderId="0" xfId="0" applyNumberFormat="1" applyFont="1"/>
    <xf numFmtId="43" fontId="9" fillId="3" borderId="43" xfId="1" quotePrefix="1" applyFont="1" applyFill="1" applyBorder="1" applyAlignment="1" applyProtection="1">
      <alignment horizontal="center" vertical="top"/>
    </xf>
    <xf numFmtId="43" fontId="9" fillId="3" borderId="39" xfId="1" quotePrefix="1" applyFont="1" applyFill="1" applyBorder="1" applyAlignment="1" applyProtection="1">
      <alignment horizontal="center" vertical="top"/>
    </xf>
    <xf numFmtId="0" fontId="3" fillId="0" borderId="11" xfId="0" applyFont="1" applyBorder="1" applyAlignment="1">
      <alignment horizontal="center" vertical="top"/>
    </xf>
    <xf numFmtId="4" fontId="3" fillId="0" borderId="11" xfId="0" quotePrefix="1" applyNumberFormat="1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4" fontId="3" fillId="0" borderId="11" xfId="0" applyNumberFormat="1" applyFont="1" applyBorder="1" applyAlignment="1">
      <alignment horizontal="center" vertical="top"/>
    </xf>
    <xf numFmtId="44" fontId="23" fillId="3" borderId="11" xfId="3" quotePrefix="1" applyFont="1" applyFill="1" applyBorder="1" applyAlignment="1" applyProtection="1">
      <alignment horizontal="center" vertical="top"/>
    </xf>
    <xf numFmtId="44" fontId="24" fillId="0" borderId="11" xfId="0" applyNumberFormat="1" applyFont="1" applyBorder="1"/>
    <xf numFmtId="10" fontId="3" fillId="3" borderId="1" xfId="0" quotePrefix="1" applyNumberFormat="1" applyFont="1" applyFill="1" applyBorder="1" applyAlignment="1">
      <alignment horizontal="center" vertical="top"/>
    </xf>
    <xf numFmtId="10" fontId="21" fillId="0" borderId="11" xfId="2" quotePrefix="1" applyNumberFormat="1" applyFont="1" applyBorder="1" applyProtection="1"/>
    <xf numFmtId="1" fontId="3" fillId="0" borderId="10" xfId="0" quotePrefix="1" applyNumberFormat="1" applyFont="1" applyBorder="1" applyAlignment="1">
      <alignment horizontal="center" vertical="top"/>
    </xf>
    <xf numFmtId="0" fontId="3" fillId="0" borderId="11" xfId="0" quotePrefix="1" applyFont="1" applyBorder="1" applyAlignment="1">
      <alignment horizontal="center" vertical="top"/>
    </xf>
    <xf numFmtId="44" fontId="13" fillId="3" borderId="11" xfId="1" quotePrefix="1" applyNumberFormat="1" applyFont="1" applyFill="1" applyBorder="1" applyAlignment="1" applyProtection="1">
      <alignment vertical="top"/>
    </xf>
    <xf numFmtId="43" fontId="13" fillId="3" borderId="11" xfId="1" quotePrefix="1" applyFont="1" applyFill="1" applyBorder="1" applyAlignment="1" applyProtection="1">
      <alignment vertical="top"/>
    </xf>
    <xf numFmtId="0" fontId="3" fillId="0" borderId="12" xfId="0" quotePrefix="1" applyFont="1" applyBorder="1" applyAlignment="1">
      <alignment horizontal="center" vertical="top"/>
    </xf>
    <xf numFmtId="0" fontId="3" fillId="0" borderId="3" xfId="0" quotePrefix="1" applyFont="1" applyBorder="1" applyAlignment="1">
      <alignment horizontal="center" vertical="top"/>
    </xf>
    <xf numFmtId="0" fontId="17" fillId="6" borderId="4" xfId="4" applyFont="1" applyFill="1" applyBorder="1" applyAlignment="1">
      <alignment horizontal="center" vertical="center"/>
    </xf>
    <xf numFmtId="0" fontId="17" fillId="6" borderId="5" xfId="4" applyFont="1" applyFill="1" applyBorder="1" applyAlignment="1">
      <alignment horizontal="center" vertical="center"/>
    </xf>
    <xf numFmtId="0" fontId="17" fillId="6" borderId="25" xfId="4" applyFont="1" applyFill="1" applyBorder="1" applyAlignment="1">
      <alignment horizontal="center" vertical="center"/>
    </xf>
    <xf numFmtId="0" fontId="17" fillId="6" borderId="4" xfId="4" applyFont="1" applyFill="1" applyBorder="1" applyAlignment="1">
      <alignment vertical="center"/>
    </xf>
    <xf numFmtId="0" fontId="17" fillId="6" borderId="19" xfId="4" applyFont="1" applyFill="1" applyBorder="1" applyAlignment="1">
      <alignment horizontal="center" vertical="center"/>
    </xf>
    <xf numFmtId="43" fontId="17" fillId="6" borderId="4" xfId="1" applyFont="1" applyFill="1" applyBorder="1" applyAlignment="1">
      <alignment horizontal="center" vertical="center"/>
    </xf>
    <xf numFmtId="4" fontId="17" fillId="6" borderId="4" xfId="4" applyNumberFormat="1" applyFont="1" applyFill="1" applyBorder="1" applyAlignment="1">
      <alignment horizontal="center" vertical="center"/>
    </xf>
    <xf numFmtId="0" fontId="27" fillId="6" borderId="4" xfId="4" applyFont="1" applyFill="1" applyBorder="1" applyAlignment="1">
      <alignment horizontal="center" vertical="center"/>
    </xf>
    <xf numFmtId="4" fontId="27" fillId="6" borderId="4" xfId="4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top" wrapText="1"/>
    </xf>
    <xf numFmtId="0" fontId="3" fillId="0" borderId="11" xfId="0" quotePrefix="1" applyFont="1" applyBorder="1" applyAlignment="1">
      <alignment horizontal="center" vertical="top" wrapText="1"/>
    </xf>
    <xf numFmtId="4" fontId="3" fillId="0" borderId="11" xfId="0" quotePrefix="1" applyNumberFormat="1" applyFont="1" applyBorder="1" applyAlignment="1">
      <alignment horizontal="center" vertical="center" wrapText="1"/>
    </xf>
    <xf numFmtId="4" fontId="3" fillId="0" borderId="11" xfId="0" quotePrefix="1" applyNumberFormat="1" applyFont="1" applyBorder="1" applyAlignment="1">
      <alignment horizontal="center" vertical="center"/>
    </xf>
    <xf numFmtId="4" fontId="3" fillId="3" borderId="11" xfId="0" quotePrefix="1" applyNumberFormat="1" applyFont="1" applyFill="1" applyBorder="1" applyAlignment="1">
      <alignment horizontal="center" vertical="center"/>
    </xf>
    <xf numFmtId="0" fontId="17" fillId="2" borderId="4" xfId="4" applyFont="1" applyFill="1" applyBorder="1" applyAlignment="1">
      <alignment horizontal="center" vertical="center"/>
    </xf>
    <xf numFmtId="0" fontId="17" fillId="2" borderId="5" xfId="4" applyFont="1" applyFill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top" wrapText="1"/>
    </xf>
    <xf numFmtId="0" fontId="3" fillId="0" borderId="8" xfId="0" quotePrefix="1" applyFont="1" applyBorder="1" applyAlignment="1">
      <alignment horizontal="center" vertical="top" wrapText="1"/>
    </xf>
    <xf numFmtId="0" fontId="3" fillId="0" borderId="13" xfId="0" quotePrefix="1" applyFont="1" applyBorder="1" applyAlignment="1">
      <alignment horizontal="center" vertical="center" wrapText="1"/>
    </xf>
    <xf numFmtId="0" fontId="3" fillId="0" borderId="17" xfId="0" quotePrefix="1" applyFont="1" applyBorder="1" applyAlignment="1">
      <alignment horizontal="center" vertical="center" wrapText="1"/>
    </xf>
    <xf numFmtId="0" fontId="3" fillId="0" borderId="15" xfId="0" quotePrefix="1" applyFont="1" applyBorder="1" applyAlignment="1">
      <alignment horizontal="center" vertical="top" wrapText="1"/>
    </xf>
    <xf numFmtId="0" fontId="3" fillId="0" borderId="16" xfId="0" quotePrefix="1" applyFont="1" applyBorder="1" applyAlignment="1">
      <alignment horizontal="center" vertical="top" wrapText="1"/>
    </xf>
    <xf numFmtId="14" fontId="3" fillId="0" borderId="4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3" borderId="34" xfId="0" quotePrefix="1" applyFont="1" applyFill="1" applyBorder="1" applyAlignment="1">
      <alignment horizontal="center" vertical="center" wrapText="1"/>
    </xf>
    <xf numFmtId="0" fontId="3" fillId="3" borderId="35" xfId="0" quotePrefix="1" applyFont="1" applyFill="1" applyBorder="1" applyAlignment="1">
      <alignment horizontal="center" vertical="center" wrapText="1"/>
    </xf>
    <xf numFmtId="0" fontId="17" fillId="6" borderId="4" xfId="4" applyFont="1" applyFill="1" applyBorder="1" applyAlignment="1">
      <alignment horizontal="center" vertical="center"/>
    </xf>
    <xf numFmtId="0" fontId="17" fillId="6" borderId="6" xfId="4" applyFont="1" applyFill="1" applyBorder="1" applyAlignment="1">
      <alignment horizontal="center" vertical="center"/>
    </xf>
    <xf numFmtId="0" fontId="18" fillId="6" borderId="4" xfId="4" applyFont="1" applyFill="1" applyBorder="1" applyAlignment="1">
      <alignment horizontal="center" vertical="center"/>
    </xf>
    <xf numFmtId="0" fontId="18" fillId="6" borderId="5" xfId="4" applyFont="1" applyFill="1" applyBorder="1" applyAlignment="1">
      <alignment horizontal="center" vertical="center"/>
    </xf>
    <xf numFmtId="0" fontId="17" fillId="6" borderId="5" xfId="4" applyFont="1" applyFill="1" applyBorder="1" applyAlignment="1">
      <alignment horizontal="center" vertical="center"/>
    </xf>
    <xf numFmtId="0" fontId="3" fillId="0" borderId="34" xfId="0" quotePrefix="1" applyFont="1" applyBorder="1" applyAlignment="1">
      <alignment horizontal="center" vertical="center" wrapText="1"/>
    </xf>
    <xf numFmtId="0" fontId="3" fillId="0" borderId="35" xfId="0" quotePrefix="1" applyFont="1" applyBorder="1" applyAlignment="1">
      <alignment horizontal="center" vertical="center" wrapText="1"/>
    </xf>
    <xf numFmtId="0" fontId="3" fillId="3" borderId="0" xfId="0" quotePrefix="1" applyFont="1" applyFill="1" applyAlignment="1">
      <alignment horizontal="center" vertical="top" wrapText="1"/>
    </xf>
    <xf numFmtId="0" fontId="3" fillId="0" borderId="7" xfId="0" quotePrefix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 wrapText="1"/>
    </xf>
    <xf numFmtId="0" fontId="3" fillId="0" borderId="36" xfId="0" quotePrefix="1" applyFont="1" applyBorder="1" applyAlignment="1">
      <alignment horizontal="center" vertical="top" wrapText="1"/>
    </xf>
    <xf numFmtId="44" fontId="9" fillId="3" borderId="7" xfId="3" quotePrefix="1" applyFont="1" applyFill="1" applyBorder="1" applyAlignment="1" applyProtection="1">
      <alignment horizontal="center" vertical="top"/>
    </xf>
    <xf numFmtId="44" fontId="9" fillId="3" borderId="8" xfId="3" quotePrefix="1" applyFont="1" applyFill="1" applyBorder="1" applyAlignment="1" applyProtection="1">
      <alignment horizontal="center" vertical="top"/>
    </xf>
    <xf numFmtId="44" fontId="9" fillId="3" borderId="7" xfId="1" quotePrefix="1" applyNumberFormat="1" applyFont="1" applyFill="1" applyBorder="1" applyAlignment="1" applyProtection="1">
      <alignment horizontal="center" vertical="top"/>
    </xf>
    <xf numFmtId="43" fontId="9" fillId="3" borderId="8" xfId="1" quotePrefix="1" applyFont="1" applyFill="1" applyBorder="1" applyAlignment="1" applyProtection="1">
      <alignment horizontal="center" vertical="top"/>
    </xf>
    <xf numFmtId="10" fontId="1" fillId="0" borderId="7" xfId="2" quotePrefix="1" applyNumberFormat="1" applyBorder="1" applyProtection="1"/>
    <xf numFmtId="10" fontId="1" fillId="0" borderId="44" xfId="2" quotePrefix="1" applyNumberFormat="1" applyBorder="1" applyProtection="1"/>
    <xf numFmtId="0" fontId="18" fillId="2" borderId="26" xfId="4" applyFont="1" applyFill="1" applyBorder="1" applyAlignment="1">
      <alignment horizontal="center" vertical="center"/>
    </xf>
    <xf numFmtId="0" fontId="18" fillId="2" borderId="27" xfId="4" applyFont="1" applyFill="1" applyBorder="1" applyAlignment="1">
      <alignment horizontal="center" vertical="center"/>
    </xf>
    <xf numFmtId="0" fontId="18" fillId="2" borderId="28" xfId="4" applyFont="1" applyFill="1" applyBorder="1" applyAlignment="1">
      <alignment horizontal="center" vertical="center"/>
    </xf>
    <xf numFmtId="0" fontId="18" fillId="2" borderId="29" xfId="4" applyFont="1" applyFill="1" applyBorder="1" applyAlignment="1">
      <alignment horizontal="center" vertical="center"/>
    </xf>
    <xf numFmtId="0" fontId="18" fillId="2" borderId="30" xfId="4" applyFont="1" applyFill="1" applyBorder="1" applyAlignment="1">
      <alignment horizontal="center" vertical="center"/>
    </xf>
    <xf numFmtId="0" fontId="18" fillId="2" borderId="31" xfId="4" applyFont="1" applyFill="1" applyBorder="1" applyAlignment="1">
      <alignment horizontal="center" vertical="center"/>
    </xf>
    <xf numFmtId="0" fontId="3" fillId="0" borderId="34" xfId="0" quotePrefix="1" applyFont="1" applyBorder="1" applyAlignment="1">
      <alignment horizontal="center" vertical="top" wrapText="1"/>
    </xf>
    <xf numFmtId="0" fontId="3" fillId="0" borderId="35" xfId="0" quotePrefix="1" applyFont="1" applyBorder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0" fontId="18" fillId="6" borderId="19" xfId="4" applyFont="1" applyFill="1" applyBorder="1" applyAlignment="1">
      <alignment horizontal="center" vertical="center"/>
    </xf>
    <xf numFmtId="0" fontId="18" fillId="6" borderId="20" xfId="4" applyFont="1" applyFill="1" applyBorder="1" applyAlignment="1">
      <alignment horizontal="center" vertical="center"/>
    </xf>
    <xf numFmtId="0" fontId="18" fillId="6" borderId="14" xfId="4" applyFont="1" applyFill="1" applyBorder="1" applyAlignment="1">
      <alignment horizontal="center" vertical="center"/>
    </xf>
    <xf numFmtId="0" fontId="18" fillId="6" borderId="23" xfId="4" applyFont="1" applyFill="1" applyBorder="1" applyAlignment="1">
      <alignment horizontal="center" vertical="center"/>
    </xf>
    <xf numFmtId="0" fontId="18" fillId="6" borderId="24" xfId="4" applyFont="1" applyFill="1" applyBorder="1" applyAlignment="1">
      <alignment horizontal="center" vertical="center"/>
    </xf>
    <xf numFmtId="0" fontId="18" fillId="6" borderId="18" xfId="4" applyFont="1" applyFill="1" applyBorder="1" applyAlignment="1">
      <alignment horizontal="center" vertical="center"/>
    </xf>
    <xf numFmtId="14" fontId="3" fillId="0" borderId="11" xfId="0" quotePrefix="1" applyNumberFormat="1" applyFont="1" applyBorder="1" applyAlignment="1">
      <alignment horizontal="center" vertical="top" wrapText="1"/>
    </xf>
    <xf numFmtId="0" fontId="3" fillId="0" borderId="11" xfId="0" quotePrefix="1" applyFont="1" applyBorder="1" applyAlignment="1">
      <alignment horizontal="center" vertical="top" wrapText="1"/>
    </xf>
    <xf numFmtId="0" fontId="3" fillId="0" borderId="12" xfId="0" quotePrefix="1" applyFont="1" applyBorder="1" applyAlignment="1">
      <alignment horizontal="center" vertical="top" wrapText="1"/>
    </xf>
    <xf numFmtId="0" fontId="6" fillId="0" borderId="23" xfId="0" quotePrefix="1" applyFont="1" applyBorder="1" applyAlignment="1">
      <alignment horizontal="center"/>
    </xf>
    <xf numFmtId="0" fontId="6" fillId="0" borderId="24" xfId="0" quotePrefix="1" applyFont="1" applyBorder="1" applyAlignment="1">
      <alignment horizontal="center"/>
    </xf>
    <xf numFmtId="0" fontId="6" fillId="0" borderId="18" xfId="0" quotePrefix="1" applyFont="1" applyBorder="1" applyAlignment="1">
      <alignment horizontal="center"/>
    </xf>
    <xf numFmtId="0" fontId="3" fillId="3" borderId="0" xfId="0" quotePrefix="1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10" fontId="1" fillId="0" borderId="4" xfId="2" quotePrefix="1" applyNumberFormat="1" applyBorder="1" applyAlignment="1">
      <alignment horizontal="center"/>
    </xf>
    <xf numFmtId="10" fontId="1" fillId="0" borderId="6" xfId="2" quotePrefix="1" applyNumberFormat="1" applyBorder="1" applyAlignment="1">
      <alignment horizontal="center"/>
    </xf>
    <xf numFmtId="0" fontId="6" fillId="0" borderId="45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8" fontId="9" fillId="3" borderId="7" xfId="1" quotePrefix="1" applyNumberFormat="1" applyFont="1" applyFill="1" applyBorder="1" applyAlignment="1" applyProtection="1">
      <alignment horizontal="center" vertical="top"/>
    </xf>
    <xf numFmtId="43" fontId="9" fillId="3" borderId="44" xfId="1" quotePrefix="1" applyFont="1" applyFill="1" applyBorder="1" applyAlignment="1" applyProtection="1">
      <alignment horizontal="center" vertical="top"/>
    </xf>
    <xf numFmtId="43" fontId="9" fillId="3" borderId="7" xfId="1" quotePrefix="1" applyFont="1" applyFill="1" applyBorder="1" applyAlignment="1" applyProtection="1">
      <alignment horizontal="center" vertical="top"/>
    </xf>
    <xf numFmtId="10" fontId="1" fillId="0" borderId="7" xfId="2" quotePrefix="1" applyNumberFormat="1" applyBorder="1" applyAlignment="1" applyProtection="1">
      <alignment horizontal="center" vertical="center"/>
    </xf>
    <xf numFmtId="10" fontId="1" fillId="0" borderId="44" xfId="2" quotePrefix="1" applyNumberFormat="1" applyBorder="1" applyAlignment="1" applyProtection="1">
      <alignment horizontal="center" vertical="center"/>
    </xf>
    <xf numFmtId="0" fontId="6" fillId="0" borderId="4" xfId="0" quotePrefix="1" applyFont="1" applyBorder="1" applyAlignment="1">
      <alignment horizontal="center" vertical="top" wrapText="1"/>
    </xf>
    <xf numFmtId="0" fontId="6" fillId="0" borderId="5" xfId="0" quotePrefix="1" applyFont="1" applyBorder="1" applyAlignment="1">
      <alignment horizontal="center" vertical="top" wrapText="1"/>
    </xf>
    <xf numFmtId="0" fontId="6" fillId="0" borderId="6" xfId="0" quotePrefix="1" applyFont="1" applyBorder="1" applyAlignment="1">
      <alignment horizontal="center" vertical="top" wrapText="1"/>
    </xf>
    <xf numFmtId="0" fontId="3" fillId="0" borderId="4" xfId="0" quotePrefix="1" applyFont="1" applyBorder="1" applyAlignment="1">
      <alignment horizontal="center" vertical="top" wrapText="1"/>
    </xf>
    <xf numFmtId="0" fontId="3" fillId="0" borderId="5" xfId="0" quotePrefix="1" applyFont="1" applyBorder="1" applyAlignment="1">
      <alignment horizontal="center" vertical="top" wrapText="1"/>
    </xf>
    <xf numFmtId="0" fontId="3" fillId="0" borderId="6" xfId="0" quotePrefix="1" applyFont="1" applyBorder="1" applyAlignment="1">
      <alignment horizontal="center" vertical="top" wrapText="1"/>
    </xf>
    <xf numFmtId="0" fontId="17" fillId="2" borderId="6" xfId="4" applyFont="1" applyFill="1" applyBorder="1" applyAlignment="1">
      <alignment horizontal="center" vertical="center"/>
    </xf>
    <xf numFmtId="14" fontId="3" fillId="4" borderId="2" xfId="0" quotePrefix="1" applyNumberFormat="1" applyFont="1" applyFill="1" applyBorder="1" applyAlignment="1">
      <alignment horizontal="center" vertical="top" wrapText="1"/>
    </xf>
    <xf numFmtId="0" fontId="3" fillId="4" borderId="2" xfId="0" quotePrefix="1" applyFont="1" applyFill="1" applyBorder="1" applyAlignment="1">
      <alignment horizontal="center" vertical="top" wrapText="1"/>
    </xf>
    <xf numFmtId="0" fontId="3" fillId="4" borderId="3" xfId="0" quotePrefix="1" applyFont="1" applyFill="1" applyBorder="1" applyAlignment="1">
      <alignment horizontal="center" vertical="top" wrapText="1"/>
    </xf>
    <xf numFmtId="0" fontId="18" fillId="6" borderId="6" xfId="4" applyFont="1" applyFill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14" fontId="3" fillId="0" borderId="19" xfId="0" quotePrefix="1" applyNumberFormat="1" applyFont="1" applyBorder="1" applyAlignment="1">
      <alignment horizontal="center" vertical="top" wrapText="1"/>
    </xf>
    <xf numFmtId="14" fontId="3" fillId="0" borderId="20" xfId="0" quotePrefix="1" applyNumberFormat="1" applyFont="1" applyBorder="1" applyAlignment="1">
      <alignment horizontal="center" vertical="top" wrapText="1"/>
    </xf>
    <xf numFmtId="14" fontId="3" fillId="0" borderId="14" xfId="0" quotePrefix="1" applyNumberFormat="1" applyFont="1" applyBorder="1" applyAlignment="1">
      <alignment horizontal="center" vertical="top" wrapText="1"/>
    </xf>
    <xf numFmtId="0" fontId="3" fillId="0" borderId="19" xfId="0" quotePrefix="1" applyFont="1" applyBorder="1" applyAlignment="1">
      <alignment horizontal="center" vertical="top" wrapText="1"/>
    </xf>
    <xf numFmtId="0" fontId="3" fillId="0" borderId="20" xfId="0" quotePrefix="1" applyFont="1" applyBorder="1" applyAlignment="1">
      <alignment horizontal="center" vertical="top" wrapText="1"/>
    </xf>
    <xf numFmtId="0" fontId="3" fillId="0" borderId="14" xfId="0" quotePrefix="1" applyFont="1" applyBorder="1" applyAlignment="1">
      <alignment horizontal="center" vertical="top" wrapText="1"/>
    </xf>
    <xf numFmtId="0" fontId="3" fillId="0" borderId="4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37" xfId="0" applyFont="1" applyFill="1" applyBorder="1" applyAlignment="1">
      <alignment horizontal="center" vertical="top"/>
    </xf>
    <xf numFmtId="0" fontId="3" fillId="3" borderId="38" xfId="0" applyFont="1" applyFill="1" applyBorder="1" applyAlignment="1">
      <alignment horizontal="center" vertical="top"/>
    </xf>
    <xf numFmtId="0" fontId="3" fillId="3" borderId="40" xfId="0" applyFont="1" applyFill="1" applyBorder="1" applyAlignment="1">
      <alignment horizontal="center" vertical="top"/>
    </xf>
    <xf numFmtId="0" fontId="3" fillId="3" borderId="32" xfId="0" applyFont="1" applyFill="1" applyBorder="1" applyAlignment="1">
      <alignment horizontal="center" vertical="top"/>
    </xf>
    <xf numFmtId="0" fontId="3" fillId="3" borderId="33" xfId="0" applyFont="1" applyFill="1" applyBorder="1" applyAlignment="1">
      <alignment horizontal="center" vertical="top"/>
    </xf>
    <xf numFmtId="0" fontId="3" fillId="3" borderId="41" xfId="0" applyFont="1" applyFill="1" applyBorder="1" applyAlignment="1">
      <alignment horizontal="center" vertical="top"/>
    </xf>
    <xf numFmtId="0" fontId="3" fillId="3" borderId="42" xfId="0" applyFont="1" applyFill="1" applyBorder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26" fillId="5" borderId="0" xfId="0" applyFont="1" applyFill="1" applyAlignment="1">
      <alignment horizontal="center"/>
    </xf>
  </cellXfs>
  <cellStyles count="5">
    <cellStyle name="Millares" xfId="1" builtinId="3"/>
    <cellStyle name="Moneda" xfId="3" builtinId="4"/>
    <cellStyle name="Normal" xfId="0" builtinId="0"/>
    <cellStyle name="Normal 2" xfId="4" xr:uid="{00000000-0005-0000-0000-000003000000}"/>
    <cellStyle name="Porcentaje" xfId="2" builtinId="5"/>
  </cellStyles>
  <dxfs count="0"/>
  <tableStyles count="0" defaultTableStyle="TableStyleMedium2" defaultPivotStyle="PivotStyleLight16"/>
  <colors>
    <mruColors>
      <color rgb="FF820F1E"/>
      <color rgb="FF621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973664</xdr:colOff>
      <xdr:row>4</xdr:row>
      <xdr:rowOff>84667</xdr:rowOff>
    </xdr:from>
    <xdr:to>
      <xdr:col>16</xdr:col>
      <xdr:colOff>126999</xdr:colOff>
      <xdr:row>11</xdr:row>
      <xdr:rowOff>42334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8A88247-77C5-3944-A8AE-E420CBCB0A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460" b="21428"/>
        <a:stretch/>
      </xdr:blipFill>
      <xdr:spPr>
        <a:xfrm>
          <a:off x="19543886" y="818445"/>
          <a:ext cx="2963335" cy="1086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W274"/>
  <sheetViews>
    <sheetView showGridLines="0" tabSelected="1" zoomScale="70" zoomScaleNormal="70" zoomScaleSheetLayoutView="70" zoomScalePageLayoutView="70" workbookViewId="0">
      <selection activeCell="F7" sqref="F7"/>
    </sheetView>
  </sheetViews>
  <sheetFormatPr baseColWidth="10" defaultColWidth="11.44140625" defaultRowHeight="16.8"/>
  <cols>
    <col min="1" max="1" width="9.33203125" style="2" customWidth="1"/>
    <col min="2" max="2" width="22.77734375" style="2" customWidth="1"/>
    <col min="3" max="3" width="16.33203125" style="2" customWidth="1"/>
    <col min="4" max="4" width="38.109375" style="2" bestFit="1" customWidth="1"/>
    <col min="5" max="5" width="20.77734375" style="2" customWidth="1"/>
    <col min="6" max="8" width="16.6640625" style="2" customWidth="1"/>
    <col min="9" max="9" width="19.6640625" style="2" customWidth="1"/>
    <col min="10" max="10" width="16.6640625" style="2" customWidth="1"/>
    <col min="11" max="11" width="23.33203125" style="2" customWidth="1"/>
    <col min="12" max="16" width="16.6640625" style="2" customWidth="1"/>
    <col min="17" max="17" width="16.77734375" style="2" customWidth="1"/>
    <col min="18" max="18" width="17.109375" style="2" customWidth="1"/>
    <col min="19" max="16384" width="11.44140625" style="2"/>
  </cols>
  <sheetData>
    <row r="7" spans="2:17" ht="36">
      <c r="G7" s="196" t="s">
        <v>132</v>
      </c>
      <c r="H7" s="196"/>
      <c r="I7" s="196"/>
      <c r="J7" s="196"/>
      <c r="K7" s="196"/>
    </row>
    <row r="10" spans="2:17" ht="27" hidden="1">
      <c r="B10" s="119" t="s">
        <v>0</v>
      </c>
      <c r="C10" s="120"/>
      <c r="D10" s="120"/>
      <c r="E10" s="120"/>
      <c r="F10" s="120"/>
      <c r="G10" s="120"/>
      <c r="H10" s="120"/>
      <c r="I10" s="120"/>
      <c r="J10" s="120"/>
      <c r="K10" s="121"/>
      <c r="L10" s="1"/>
      <c r="M10" s="1"/>
      <c r="N10" s="1"/>
      <c r="O10" s="1"/>
      <c r="P10" s="1"/>
      <c r="Q10" s="1"/>
    </row>
    <row r="11" spans="2:17" ht="27.6" hidden="1" thickBot="1">
      <c r="B11" s="122" t="s">
        <v>1</v>
      </c>
      <c r="C11" s="123"/>
      <c r="D11" s="123"/>
      <c r="E11" s="123"/>
      <c r="F11" s="123"/>
      <c r="G11" s="123"/>
      <c r="H11" s="123"/>
      <c r="I11" s="123"/>
      <c r="J11" s="123"/>
      <c r="K11" s="124"/>
      <c r="L11" s="1"/>
      <c r="M11" s="1"/>
      <c r="N11" s="1"/>
      <c r="O11" s="1"/>
      <c r="P11" s="1"/>
      <c r="Q11" s="1"/>
    </row>
    <row r="12" spans="2:17" ht="27.6" thickBo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7" ht="33.75" customHeight="1" thickBot="1">
      <c r="B13" s="103" t="s">
        <v>129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71"/>
    </row>
    <row r="14" spans="2:17" ht="25.2" thickBo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ht="25.2" thickBot="1">
      <c r="B15" s="101" t="s">
        <v>65</v>
      </c>
      <c r="C15" s="105"/>
      <c r="D15" s="54">
        <v>45666</v>
      </c>
      <c r="E15" s="3"/>
      <c r="F15" s="3"/>
      <c r="G15" s="3"/>
      <c r="H15" s="3"/>
      <c r="I15" s="3"/>
      <c r="J15" s="3"/>
      <c r="K15" s="128" t="s">
        <v>60</v>
      </c>
      <c r="L15" s="129"/>
      <c r="M15" s="129"/>
      <c r="N15" s="129"/>
      <c r="O15" s="129"/>
      <c r="P15" s="129"/>
      <c r="Q15" s="130"/>
    </row>
    <row r="16" spans="2:17" ht="25.2" thickBot="1">
      <c r="E16" s="3"/>
      <c r="F16" s="3"/>
      <c r="G16" s="3"/>
      <c r="H16" s="3"/>
      <c r="I16" s="3"/>
      <c r="J16" s="3"/>
      <c r="K16" s="131"/>
      <c r="L16" s="132"/>
      <c r="M16" s="132"/>
      <c r="N16" s="132"/>
      <c r="O16" s="132"/>
      <c r="P16" s="132"/>
      <c r="Q16" s="133"/>
    </row>
    <row r="17" spans="2:20" ht="25.2" thickBot="1">
      <c r="B17" s="101" t="s">
        <v>66</v>
      </c>
      <c r="C17" s="102"/>
      <c r="D17" s="53">
        <v>2025</v>
      </c>
      <c r="E17" s="3"/>
      <c r="K17" s="101" t="s">
        <v>74</v>
      </c>
      <c r="L17" s="105"/>
      <c r="M17" s="102"/>
      <c r="N17" s="137">
        <v>0</v>
      </c>
      <c r="O17" s="138"/>
      <c r="P17" s="138"/>
      <c r="Q17" s="139"/>
    </row>
    <row r="18" spans="2:20" ht="25.2" thickBot="1">
      <c r="B18" s="26"/>
      <c r="C18" s="26"/>
      <c r="D18" s="50"/>
      <c r="E18" s="3"/>
      <c r="K18" s="101" t="s">
        <v>61</v>
      </c>
      <c r="L18" s="105"/>
      <c r="M18" s="105"/>
      <c r="N18" s="105"/>
      <c r="O18" s="105"/>
      <c r="P18" s="105"/>
      <c r="Q18" s="102"/>
    </row>
    <row r="19" spans="2:20" ht="25.2" thickBot="1">
      <c r="E19" s="3"/>
      <c r="K19" s="101" t="s">
        <v>62</v>
      </c>
      <c r="L19" s="105"/>
      <c r="M19" s="102"/>
      <c r="N19" s="137">
        <v>0</v>
      </c>
      <c r="O19" s="138"/>
      <c r="P19" s="138"/>
      <c r="Q19" s="139"/>
    </row>
    <row r="20" spans="2:20" ht="25.2" thickBot="1">
      <c r="E20" s="3"/>
      <c r="K20" s="101" t="s">
        <v>63</v>
      </c>
      <c r="L20" s="105"/>
      <c r="M20" s="102"/>
      <c r="N20" s="176" t="s">
        <v>90</v>
      </c>
      <c r="O20" s="177"/>
      <c r="P20" s="177"/>
      <c r="Q20" s="178"/>
    </row>
    <row r="21" spans="2:20" ht="25.2" thickBot="1">
      <c r="E21" s="3"/>
      <c r="K21" s="101" t="s">
        <v>64</v>
      </c>
      <c r="L21" s="105"/>
      <c r="M21" s="102"/>
      <c r="N21" s="172"/>
      <c r="O21" s="173"/>
      <c r="P21" s="173"/>
      <c r="Q21" s="174"/>
    </row>
    <row r="22" spans="2:20" ht="25.2" thickBot="1">
      <c r="E22" s="3"/>
      <c r="K22" s="101" t="s">
        <v>67</v>
      </c>
      <c r="L22" s="105"/>
      <c r="M22" s="102"/>
      <c r="N22" s="175" t="s">
        <v>130</v>
      </c>
      <c r="O22" s="173"/>
      <c r="P22" s="173"/>
      <c r="Q22" s="174"/>
    </row>
    <row r="23" spans="2:20" ht="24.6">
      <c r="B23" s="3"/>
      <c r="C23" s="3"/>
      <c r="D23" s="3"/>
      <c r="E23" s="3"/>
      <c r="Q23" s="3"/>
    </row>
    <row r="24" spans="2:20">
      <c r="B24" s="4"/>
    </row>
    <row r="25" spans="2:20">
      <c r="B25" s="6" t="s">
        <v>3</v>
      </c>
    </row>
    <row r="26" spans="2:20" ht="8.5500000000000007" customHeight="1" thickBot="1">
      <c r="B26" s="6"/>
      <c r="T26" s="28"/>
    </row>
    <row r="27" spans="2:20" ht="20.55" customHeight="1" thickBot="1">
      <c r="B27" s="103" t="s">
        <v>71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</row>
    <row r="28" spans="2:20" ht="15" customHeight="1" thickBot="1">
      <c r="B28" s="101" t="s">
        <v>4</v>
      </c>
      <c r="C28" s="105"/>
      <c r="D28" s="102"/>
      <c r="E28" s="164" t="s">
        <v>110</v>
      </c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6"/>
    </row>
    <row r="29" spans="2:20" ht="15" customHeight="1" thickBot="1">
      <c r="B29" s="101" t="s">
        <v>5</v>
      </c>
      <c r="C29" s="105"/>
      <c r="D29" s="102"/>
      <c r="E29" s="161" t="s">
        <v>111</v>
      </c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3"/>
    </row>
    <row r="30" spans="2:20" ht="18.75" customHeight="1" thickBot="1">
      <c r="B30" s="101" t="s">
        <v>6</v>
      </c>
      <c r="C30" s="105"/>
      <c r="D30" s="102"/>
      <c r="E30" s="164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6"/>
    </row>
    <row r="31" spans="2:20" ht="15" customHeight="1" thickBot="1">
      <c r="B31" s="101" t="s">
        <v>7</v>
      </c>
      <c r="C31" s="105"/>
      <c r="D31" s="102"/>
      <c r="E31" s="164" t="s">
        <v>112</v>
      </c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6"/>
    </row>
    <row r="32" spans="2:20" ht="17.399999999999999" thickBot="1">
      <c r="B32" s="101" t="s">
        <v>8</v>
      </c>
      <c r="C32" s="105"/>
      <c r="D32" s="102"/>
      <c r="E32" s="179">
        <v>45904</v>
      </c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1"/>
    </row>
    <row r="33" spans="2:23" ht="17.399999999999999" thickBot="1">
      <c r="B33" s="101" t="s">
        <v>9</v>
      </c>
      <c r="C33" s="105"/>
      <c r="D33" s="102"/>
      <c r="E33" s="96">
        <v>46021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8"/>
    </row>
    <row r="34" spans="2:23" ht="15" customHeight="1" thickBot="1">
      <c r="B34" s="101" t="s">
        <v>10</v>
      </c>
      <c r="C34" s="105"/>
      <c r="D34" s="102"/>
      <c r="E34" s="161" t="s">
        <v>113</v>
      </c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3"/>
    </row>
    <row r="35" spans="2:23" ht="17.399999999999999" thickBot="1">
      <c r="B35" s="101" t="s">
        <v>11</v>
      </c>
      <c r="C35" s="105"/>
      <c r="D35" s="102"/>
      <c r="E35" s="164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6"/>
    </row>
    <row r="36" spans="2:23" ht="14.55" customHeight="1" thickBot="1">
      <c r="B36" s="101" t="s">
        <v>72</v>
      </c>
      <c r="C36" s="105"/>
      <c r="D36" s="102"/>
      <c r="E36" s="164" t="s">
        <v>91</v>
      </c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6"/>
    </row>
    <row r="37" spans="2:23" ht="15" customHeight="1" thickBot="1">
      <c r="B37" s="101" t="s">
        <v>12</v>
      </c>
      <c r="C37" s="105"/>
      <c r="D37" s="102"/>
      <c r="E37" s="164" t="s">
        <v>114</v>
      </c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6"/>
    </row>
    <row r="38" spans="2:23" ht="15" hidden="1" customHeight="1" thickBot="1">
      <c r="B38" s="88" t="s">
        <v>13</v>
      </c>
      <c r="C38" s="89"/>
      <c r="D38" s="167"/>
      <c r="E38" s="164" t="s">
        <v>115</v>
      </c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6"/>
      <c r="U38" s="22"/>
    </row>
    <row r="39" spans="2:23" ht="15" customHeight="1" thickBot="1">
      <c r="B39" s="101" t="s">
        <v>14</v>
      </c>
      <c r="C39" s="105"/>
      <c r="D39" s="102"/>
      <c r="E39" s="182" t="s">
        <v>92</v>
      </c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4"/>
      <c r="U39" s="22"/>
    </row>
    <row r="40" spans="2:23" ht="18.75" customHeight="1" thickBot="1">
      <c r="B40" s="101" t="s">
        <v>15</v>
      </c>
      <c r="C40" s="105"/>
      <c r="D40" s="102"/>
      <c r="E40" s="74" t="s">
        <v>17</v>
      </c>
      <c r="F40" s="134">
        <v>45904</v>
      </c>
      <c r="G40" s="135"/>
      <c r="H40" s="135"/>
      <c r="I40" s="135"/>
      <c r="J40" s="135"/>
      <c r="K40" s="135"/>
      <c r="L40" s="74" t="s">
        <v>18</v>
      </c>
      <c r="M40" s="134" t="s">
        <v>134</v>
      </c>
      <c r="N40" s="135"/>
      <c r="O40" s="135"/>
      <c r="P40" s="135"/>
      <c r="Q40" s="136"/>
    </row>
    <row r="41" spans="2:23" ht="17.399999999999999" hidden="1" thickBot="1">
      <c r="B41" s="101" t="s">
        <v>16</v>
      </c>
      <c r="C41" s="105"/>
      <c r="D41" s="102"/>
      <c r="E41" s="74" t="s">
        <v>17</v>
      </c>
      <c r="F41" s="134">
        <v>46023</v>
      </c>
      <c r="G41" s="135"/>
      <c r="H41" s="135"/>
      <c r="I41" s="135"/>
      <c r="J41" s="135"/>
      <c r="K41" s="135"/>
      <c r="L41" s="74" t="s">
        <v>18</v>
      </c>
      <c r="M41" s="134">
        <v>46082</v>
      </c>
      <c r="N41" s="135"/>
      <c r="O41" s="135"/>
      <c r="P41" s="135"/>
      <c r="Q41" s="136"/>
    </row>
    <row r="42" spans="2:23" ht="15" hidden="1" customHeight="1" thickBot="1">
      <c r="B42" s="88" t="s">
        <v>19</v>
      </c>
      <c r="C42" s="89"/>
      <c r="D42" s="167"/>
      <c r="E42" s="20" t="s">
        <v>17</v>
      </c>
      <c r="F42" s="168">
        <v>45627</v>
      </c>
      <c r="G42" s="169"/>
      <c r="H42" s="169"/>
      <c r="I42" s="169"/>
      <c r="J42" s="169"/>
      <c r="K42" s="169"/>
      <c r="L42" s="20" t="s">
        <v>18</v>
      </c>
      <c r="M42" s="168">
        <v>46022</v>
      </c>
      <c r="N42" s="169"/>
      <c r="O42" s="169"/>
      <c r="P42" s="169"/>
      <c r="Q42" s="170"/>
    </row>
    <row r="43" spans="2:23" ht="16.2" customHeight="1" thickBot="1"/>
    <row r="44" spans="2:23" ht="16.2" customHeight="1" thickBot="1">
      <c r="B44" s="103" t="s">
        <v>73</v>
      </c>
      <c r="C44" s="104"/>
      <c r="D44" s="104"/>
      <c r="E44" s="7"/>
      <c r="F44" s="29"/>
      <c r="G44" s="103" t="s">
        <v>131</v>
      </c>
      <c r="H44" s="104"/>
      <c r="I44" s="104"/>
      <c r="J44" s="104"/>
      <c r="W44" s="28"/>
    </row>
    <row r="45" spans="2:23" ht="16.2" customHeight="1" thickBot="1">
      <c r="B45" s="101" t="s">
        <v>20</v>
      </c>
      <c r="C45" s="105"/>
      <c r="D45" s="77" t="s">
        <v>21</v>
      </c>
      <c r="G45" s="74"/>
      <c r="H45" s="74"/>
      <c r="I45" s="74"/>
      <c r="J45" s="76" t="s">
        <v>40</v>
      </c>
      <c r="K45" s="26" t="s">
        <v>21</v>
      </c>
      <c r="L45" s="26"/>
    </row>
    <row r="46" spans="2:23" ht="16.2" customHeight="1" thickBot="1">
      <c r="B46" s="101" t="s">
        <v>22</v>
      </c>
      <c r="C46" s="105"/>
      <c r="D46" s="72">
        <v>4</v>
      </c>
      <c r="G46" s="55"/>
      <c r="H46" s="35"/>
      <c r="I46" s="55"/>
      <c r="J46" s="35">
        <f>K95*1.16</f>
        <v>605565.93599999999</v>
      </c>
    </row>
    <row r="47" spans="2:23" ht="16.2" customHeight="1" thickBot="1">
      <c r="B47" s="101" t="s">
        <v>23</v>
      </c>
      <c r="C47" s="105"/>
      <c r="D47" s="73">
        <v>3</v>
      </c>
      <c r="F47" s="127"/>
      <c r="G47" s="127"/>
      <c r="H47" s="25"/>
      <c r="I47" s="27"/>
    </row>
    <row r="49" spans="2:23" ht="15" hidden="1" customHeight="1">
      <c r="B49" s="88" t="s">
        <v>75</v>
      </c>
      <c r="C49" s="89"/>
      <c r="D49" s="89"/>
      <c r="E49" s="8"/>
      <c r="F49" s="9"/>
      <c r="G49" s="9"/>
      <c r="H49" s="9"/>
      <c r="I49" s="9"/>
      <c r="J49" s="9"/>
      <c r="K49" s="88" t="s">
        <v>76</v>
      </c>
      <c r="L49" s="89"/>
      <c r="M49" s="89"/>
      <c r="N49" s="8"/>
      <c r="O49" s="9"/>
      <c r="R49" s="9"/>
      <c r="S49" s="9"/>
      <c r="T49" s="9"/>
      <c r="U49" s="9"/>
      <c r="V49" s="9"/>
    </row>
    <row r="50" spans="2:23" ht="26.25" hidden="1" customHeight="1">
      <c r="B50" s="20" t="s">
        <v>24</v>
      </c>
      <c r="C50" s="110" t="s">
        <v>93</v>
      </c>
      <c r="D50" s="110"/>
      <c r="E50" s="110"/>
      <c r="F50" s="110"/>
      <c r="G50" s="92" t="s">
        <v>25</v>
      </c>
      <c r="H50" s="51"/>
      <c r="I50" s="125"/>
      <c r="K50" s="21" t="s">
        <v>24</v>
      </c>
      <c r="L50" s="109" t="s">
        <v>95</v>
      </c>
      <c r="M50" s="110"/>
      <c r="N50" s="110"/>
      <c r="O50" s="111"/>
      <c r="P50" s="106" t="s">
        <v>25</v>
      </c>
      <c r="Q50" s="36"/>
      <c r="R50" s="31"/>
      <c r="S50" s="31"/>
      <c r="U50" s="108"/>
      <c r="V50" s="108"/>
      <c r="W50" s="28"/>
    </row>
    <row r="51" spans="2:23" ht="24" hidden="1" customHeight="1">
      <c r="B51" s="20" t="s">
        <v>26</v>
      </c>
      <c r="C51" s="94" t="s">
        <v>94</v>
      </c>
      <c r="D51" s="95"/>
      <c r="E51" s="95"/>
      <c r="F51" s="95"/>
      <c r="G51" s="93"/>
      <c r="H51" s="52"/>
      <c r="I51" s="126"/>
      <c r="K51" s="21" t="s">
        <v>26</v>
      </c>
      <c r="L51" s="94" t="s">
        <v>96</v>
      </c>
      <c r="M51" s="95"/>
      <c r="N51" s="95"/>
      <c r="O51" s="112"/>
      <c r="P51" s="107"/>
      <c r="Q51" s="37"/>
      <c r="R51" s="31"/>
      <c r="S51" s="31"/>
      <c r="U51" s="108"/>
      <c r="V51" s="108"/>
      <c r="W51" s="28"/>
    </row>
    <row r="52" spans="2:23" hidden="1">
      <c r="D52" s="34"/>
    </row>
    <row r="53" spans="2:23" ht="17.399999999999999" hidden="1" thickBot="1">
      <c r="B53" s="88" t="s">
        <v>77</v>
      </c>
      <c r="C53" s="89"/>
      <c r="D53" s="89"/>
      <c r="E53" s="8"/>
      <c r="F53" s="9"/>
      <c r="G53" s="9"/>
      <c r="H53" s="9"/>
      <c r="I53" s="9"/>
      <c r="J53" s="9"/>
      <c r="K53" s="25"/>
      <c r="L53" s="25"/>
      <c r="M53" s="25"/>
      <c r="N53" s="25"/>
      <c r="O53" s="25"/>
      <c r="P53" s="25"/>
      <c r="Q53" s="25"/>
    </row>
    <row r="54" spans="2:23" ht="14.55" hidden="1" customHeight="1">
      <c r="B54" s="20" t="s">
        <v>24</v>
      </c>
      <c r="C54" s="90" t="s">
        <v>108</v>
      </c>
      <c r="D54" s="91"/>
      <c r="E54" s="91"/>
      <c r="F54" s="91"/>
      <c r="G54" s="91"/>
      <c r="H54" s="91"/>
      <c r="I54" s="91"/>
      <c r="J54" s="106" t="s">
        <v>25</v>
      </c>
      <c r="K54" s="99" t="s">
        <v>68</v>
      </c>
      <c r="L54" s="33"/>
      <c r="M54" s="33"/>
      <c r="N54" s="33"/>
      <c r="O54" s="140"/>
      <c r="P54" s="108"/>
      <c r="Q54" s="108"/>
    </row>
    <row r="55" spans="2:23" ht="15" hidden="1" customHeight="1">
      <c r="B55" s="20" t="s">
        <v>26</v>
      </c>
      <c r="C55" s="94" t="s">
        <v>107</v>
      </c>
      <c r="D55" s="95"/>
      <c r="E55" s="95"/>
      <c r="F55" s="95"/>
      <c r="G55" s="95"/>
      <c r="H55" s="95"/>
      <c r="I55" s="95"/>
      <c r="J55" s="107"/>
      <c r="K55" s="100"/>
      <c r="L55" s="33"/>
      <c r="M55" s="33"/>
      <c r="N55" s="33"/>
      <c r="O55" s="140"/>
      <c r="P55" s="108"/>
      <c r="Q55" s="108"/>
    </row>
    <row r="56" spans="2:23" ht="15" hidden="1" customHeight="1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4"/>
      <c r="P56" s="23"/>
      <c r="Q56" s="23"/>
    </row>
    <row r="57" spans="2:23" ht="17.399999999999999" hidden="1" thickBot="1">
      <c r="B57" s="88" t="s">
        <v>77</v>
      </c>
      <c r="C57" s="89"/>
      <c r="D57" s="89"/>
      <c r="E57" s="8"/>
      <c r="F57" s="9"/>
      <c r="G57" s="9"/>
      <c r="H57" s="9"/>
      <c r="I57" s="9"/>
      <c r="J57" s="9"/>
      <c r="K57" s="23"/>
      <c r="L57" s="23"/>
      <c r="M57" s="23"/>
      <c r="N57" s="23"/>
      <c r="O57" s="24"/>
      <c r="P57" s="23"/>
      <c r="Q57" s="23"/>
    </row>
    <row r="58" spans="2:23" ht="15" hidden="1" customHeight="1">
      <c r="B58" s="20" t="s">
        <v>24</v>
      </c>
      <c r="C58" s="90" t="s">
        <v>100</v>
      </c>
      <c r="D58" s="91"/>
      <c r="E58" s="91"/>
      <c r="F58" s="91"/>
      <c r="G58" s="91"/>
      <c r="H58" s="91"/>
      <c r="I58" s="91"/>
      <c r="J58" s="92" t="s">
        <v>25</v>
      </c>
      <c r="K58" s="99" t="s">
        <v>69</v>
      </c>
      <c r="L58" s="23"/>
      <c r="M58" s="23"/>
      <c r="N58" s="23"/>
      <c r="O58" s="24"/>
      <c r="P58" s="23"/>
      <c r="Q58" s="23"/>
    </row>
    <row r="59" spans="2:23" ht="15" hidden="1" customHeight="1">
      <c r="B59" s="20" t="s">
        <v>26</v>
      </c>
      <c r="C59" s="94" t="s">
        <v>101</v>
      </c>
      <c r="D59" s="95"/>
      <c r="E59" s="95"/>
      <c r="F59" s="95"/>
      <c r="G59" s="95"/>
      <c r="H59" s="95"/>
      <c r="I59" s="95"/>
      <c r="J59" s="93"/>
      <c r="K59" s="100"/>
    </row>
    <row r="60" spans="2:23" ht="15" hidden="1" customHeight="1"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2:23" ht="15" hidden="1" customHeight="1">
      <c r="B61" s="88" t="s">
        <v>77</v>
      </c>
      <c r="C61" s="89"/>
      <c r="D61" s="89"/>
      <c r="E61" s="8"/>
      <c r="F61" s="9"/>
      <c r="G61" s="9"/>
      <c r="H61" s="9"/>
      <c r="I61" s="9"/>
      <c r="J61" s="9"/>
    </row>
    <row r="62" spans="2:23" ht="15" hidden="1" customHeight="1">
      <c r="B62" s="20" t="s">
        <v>24</v>
      </c>
      <c r="C62" s="90" t="s">
        <v>97</v>
      </c>
      <c r="D62" s="91"/>
      <c r="E62" s="91"/>
      <c r="F62" s="91"/>
      <c r="G62" s="91"/>
      <c r="H62" s="91"/>
      <c r="I62" s="91"/>
      <c r="J62" s="92" t="s">
        <v>25</v>
      </c>
      <c r="K62" s="99" t="s">
        <v>103</v>
      </c>
      <c r="L62" s="2" t="s">
        <v>99</v>
      </c>
    </row>
    <row r="63" spans="2:23" ht="15" hidden="1" customHeight="1">
      <c r="B63" s="20" t="s">
        <v>26</v>
      </c>
      <c r="C63" s="94" t="s">
        <v>98</v>
      </c>
      <c r="D63" s="95"/>
      <c r="E63" s="95"/>
      <c r="F63" s="95"/>
      <c r="G63" s="95"/>
      <c r="H63" s="95"/>
      <c r="I63" s="95"/>
      <c r="J63" s="93"/>
      <c r="K63" s="100"/>
    </row>
    <row r="64" spans="2:23" ht="15" hidden="1" customHeight="1"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2:17" ht="15" hidden="1" customHeight="1">
      <c r="B65" s="88" t="s">
        <v>77</v>
      </c>
      <c r="C65" s="89"/>
      <c r="D65" s="89"/>
      <c r="E65" s="8"/>
      <c r="F65" s="9"/>
      <c r="G65" s="9"/>
      <c r="H65" s="9"/>
      <c r="I65" s="9"/>
      <c r="J65" s="9"/>
    </row>
    <row r="66" spans="2:17" ht="15" hidden="1" customHeight="1">
      <c r="B66" s="20" t="s">
        <v>24</v>
      </c>
      <c r="C66" s="90" t="s">
        <v>102</v>
      </c>
      <c r="D66" s="91"/>
      <c r="E66" s="91"/>
      <c r="F66" s="91"/>
      <c r="G66" s="91"/>
      <c r="H66" s="91"/>
      <c r="I66" s="91"/>
      <c r="J66" s="92" t="s">
        <v>25</v>
      </c>
      <c r="K66" s="99" t="s">
        <v>104</v>
      </c>
    </row>
    <row r="67" spans="2:17" ht="15" hidden="1" customHeight="1">
      <c r="B67" s="20" t="s">
        <v>26</v>
      </c>
      <c r="C67" s="94" t="s">
        <v>109</v>
      </c>
      <c r="D67" s="95"/>
      <c r="E67" s="95"/>
      <c r="F67" s="95"/>
      <c r="G67" s="95"/>
      <c r="H67" s="95"/>
      <c r="I67" s="95"/>
      <c r="J67" s="93"/>
      <c r="K67" s="100"/>
    </row>
    <row r="68" spans="2:17" ht="15" customHeight="1"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2:17" ht="18.75" customHeight="1" thickBot="1"/>
    <row r="70" spans="2:17" ht="91.2" customHeight="1" thickBot="1">
      <c r="B70" s="101" t="s">
        <v>78</v>
      </c>
      <c r="C70" s="105"/>
      <c r="D70" s="144" t="s">
        <v>89</v>
      </c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6"/>
    </row>
    <row r="73" spans="2:17" ht="17.399999999999999" thickBot="1"/>
    <row r="74" spans="2:17" ht="14.55" customHeight="1" thickBot="1">
      <c r="B74" s="10"/>
      <c r="C74" s="10"/>
      <c r="D74" s="10"/>
      <c r="E74" s="101" t="s">
        <v>79</v>
      </c>
      <c r="F74" s="105"/>
      <c r="G74" s="101" t="s">
        <v>80</v>
      </c>
      <c r="H74" s="105"/>
    </row>
    <row r="75" spans="2:17" ht="17.399999999999999" thickBot="1">
      <c r="B75" s="10"/>
      <c r="C75" s="10"/>
      <c r="D75" s="10"/>
      <c r="E75" s="101" t="s">
        <v>27</v>
      </c>
      <c r="F75" s="105"/>
      <c r="G75" s="142">
        <v>0.35</v>
      </c>
      <c r="H75" s="143"/>
    </row>
    <row r="76" spans="2:17" ht="17.399999999999999" thickBot="1">
      <c r="B76" s="10"/>
      <c r="C76" s="10"/>
      <c r="D76" s="10"/>
      <c r="E76" s="101" t="s">
        <v>28</v>
      </c>
      <c r="F76" s="105"/>
      <c r="G76" s="142">
        <v>2E-3</v>
      </c>
      <c r="H76" s="143"/>
    </row>
    <row r="77" spans="2:17">
      <c r="B77" s="10"/>
      <c r="C77" s="10"/>
      <c r="D77" s="10"/>
      <c r="E77" s="12"/>
      <c r="F77" s="12"/>
      <c r="G77" s="13"/>
      <c r="H77" s="11"/>
    </row>
    <row r="78" spans="2:17" hidden="1">
      <c r="B78" s="10"/>
      <c r="C78" s="10"/>
      <c r="D78" s="10"/>
      <c r="E78" s="14"/>
      <c r="F78" s="14"/>
      <c r="G78" s="15"/>
      <c r="H78" s="11"/>
    </row>
    <row r="79" spans="2:17" hidden="1">
      <c r="B79" s="10"/>
      <c r="C79" s="10"/>
      <c r="D79" s="10"/>
      <c r="E79" s="147" t="e">
        <f>IF(OR(#REF!&lt;#REF!,#REF!&gt;#REF!),"Observación: "&amp;CHAR(10),"")&amp;
IF(#REF!&lt;#REF!,"Monto Mínimo Presupuestado menor al Monto Mínimo del contrato por: "&amp;TEXT(#REF!-#REF!,"$#,###,##0.00"),"")&amp;
IF(AND(#REF!&lt;#REF!,#REF!&gt;#REF!),CHAR(10),"")&amp;
IF(#REF!&gt;#REF!,"Monto Máximo Presupuestado mayor al Monto Máximo del contrato por: "&amp;TEXT(#REF!-#REF!,"$#,###,##0.00"),"")</f>
        <v>#REF!</v>
      </c>
      <c r="F79" s="148"/>
      <c r="G79" s="148"/>
      <c r="H79" s="149"/>
    </row>
    <row r="80" spans="2:17" hidden="1">
      <c r="B80" s="10"/>
      <c r="C80" s="10"/>
      <c r="D80" s="10"/>
      <c r="E80" s="150"/>
      <c r="F80" s="151"/>
      <c r="G80" s="151"/>
      <c r="H80" s="152"/>
    </row>
    <row r="81" spans="2:13" hidden="1">
      <c r="B81" s="10"/>
      <c r="C81" s="10"/>
      <c r="D81" s="10"/>
      <c r="E81" s="150"/>
      <c r="F81" s="151"/>
      <c r="G81" s="151"/>
      <c r="H81" s="152"/>
    </row>
    <row r="82" spans="2:13" hidden="1">
      <c r="B82" s="16"/>
      <c r="C82" s="16"/>
      <c r="D82" s="16"/>
      <c r="E82" s="150"/>
      <c r="F82" s="151"/>
      <c r="G82" s="151"/>
      <c r="H82" s="152"/>
    </row>
    <row r="83" spans="2:13" ht="17.399999999999999" hidden="1" thickBot="1">
      <c r="B83" s="10"/>
      <c r="C83" s="56"/>
      <c r="D83" s="10"/>
      <c r="E83" s="153"/>
      <c r="F83" s="154"/>
      <c r="G83" s="154"/>
      <c r="H83" s="155"/>
    </row>
    <row r="84" spans="2:13" hidden="1">
      <c r="B84" s="17"/>
    </row>
    <row r="85" spans="2:13">
      <c r="B85" s="17"/>
    </row>
    <row r="86" spans="2:13">
      <c r="B86" s="17"/>
      <c r="C86" s="2" t="s">
        <v>105</v>
      </c>
    </row>
    <row r="87" spans="2:13">
      <c r="C87" s="141" t="s">
        <v>29</v>
      </c>
      <c r="D87" s="141"/>
      <c r="E87" s="141"/>
      <c r="F87" s="18"/>
    </row>
    <row r="88" spans="2:13">
      <c r="B88" s="18"/>
      <c r="C88" s="18"/>
      <c r="D88" s="18"/>
      <c r="E88" s="18"/>
      <c r="F88" s="18"/>
    </row>
    <row r="90" spans="2:13">
      <c r="B90" s="6" t="s">
        <v>30</v>
      </c>
    </row>
    <row r="91" spans="2:13" ht="17.399999999999999" thickBot="1">
      <c r="B91" s="6"/>
    </row>
    <row r="92" spans="2:13" ht="17.399999999999999" thickBot="1">
      <c r="B92" s="101" t="s">
        <v>31</v>
      </c>
      <c r="C92" s="105"/>
      <c r="D92" s="105"/>
      <c r="E92" s="105"/>
      <c r="F92" s="8"/>
      <c r="G92" s="9"/>
      <c r="H92" s="9"/>
      <c r="I92" s="9"/>
      <c r="J92" s="9"/>
    </row>
    <row r="93" spans="2:13" ht="17.399999999999999" thickBot="1">
      <c r="B93" s="101" t="s">
        <v>2</v>
      </c>
      <c r="C93" s="105"/>
      <c r="D93" s="101"/>
      <c r="E93" s="105"/>
      <c r="F93" s="101"/>
      <c r="G93" s="105"/>
      <c r="H93" s="101"/>
      <c r="I93" s="105"/>
      <c r="J93" s="101">
        <v>2025</v>
      </c>
      <c r="K93" s="105"/>
    </row>
    <row r="94" spans="2:13" ht="17.399999999999999" thickBot="1">
      <c r="B94" s="101" t="s">
        <v>32</v>
      </c>
      <c r="C94" s="105"/>
      <c r="D94" s="101"/>
      <c r="E94" s="105"/>
      <c r="F94" s="101"/>
      <c r="G94" s="105"/>
      <c r="H94" s="101"/>
      <c r="I94" s="105"/>
      <c r="J94" s="78"/>
      <c r="K94" s="75" t="s">
        <v>128</v>
      </c>
    </row>
    <row r="95" spans="2:13" ht="17.399999999999999" thickBot="1">
      <c r="B95" s="101" t="s">
        <v>33</v>
      </c>
      <c r="C95" s="105"/>
      <c r="D95" s="158"/>
      <c r="E95" s="157"/>
      <c r="F95" s="156"/>
      <c r="G95" s="157"/>
      <c r="H95" s="113"/>
      <c r="I95" s="114"/>
      <c r="J95" s="64"/>
      <c r="K95" s="58">
        <v>522039.6</v>
      </c>
      <c r="M95" s="38"/>
    </row>
    <row r="96" spans="2:13" ht="17.399999999999999" thickBot="1">
      <c r="B96" s="101" t="s">
        <v>34</v>
      </c>
      <c r="C96" s="105"/>
      <c r="D96" s="158"/>
      <c r="E96" s="157"/>
      <c r="F96" s="158"/>
      <c r="G96" s="157"/>
      <c r="H96" s="113"/>
      <c r="I96" s="114"/>
      <c r="J96" s="65"/>
      <c r="K96" s="59">
        <f>E272</f>
        <v>386696</v>
      </c>
    </row>
    <row r="97" spans="2:17" ht="17.399999999999999" thickBot="1">
      <c r="B97" s="101" t="s">
        <v>35</v>
      </c>
      <c r="C97" s="105"/>
      <c r="D97" s="158"/>
      <c r="E97" s="157"/>
      <c r="F97" s="156"/>
      <c r="G97" s="157"/>
      <c r="H97" s="115"/>
      <c r="I97" s="116"/>
      <c r="J97" s="70"/>
      <c r="K97" s="71">
        <f>K95-K96</f>
        <v>135343.59999999998</v>
      </c>
      <c r="M97" s="57"/>
    </row>
    <row r="98" spans="2:17" ht="17.399999999999999" thickBot="1">
      <c r="B98" s="101" t="s">
        <v>36</v>
      </c>
      <c r="C98" s="105"/>
      <c r="D98" s="158"/>
      <c r="E98" s="157"/>
      <c r="F98" s="159"/>
      <c r="G98" s="160"/>
      <c r="H98" s="117"/>
      <c r="I98" s="118"/>
      <c r="J98" s="67"/>
      <c r="K98" s="67">
        <f>K97/K95</f>
        <v>0.25925925925925924</v>
      </c>
    </row>
    <row r="99" spans="2:17">
      <c r="B99" s="188" t="s">
        <v>70</v>
      </c>
      <c r="C99" s="189"/>
      <c r="D99" s="189"/>
      <c r="E99" s="189"/>
      <c r="F99" s="189"/>
      <c r="G99" s="189"/>
      <c r="H99" s="189"/>
      <c r="I99" s="189"/>
      <c r="J99" s="190"/>
    </row>
    <row r="100" spans="2:17">
      <c r="B100" s="191"/>
      <c r="C100" s="127"/>
      <c r="D100" s="127"/>
      <c r="E100" s="127"/>
      <c r="F100" s="127"/>
      <c r="G100" s="127"/>
      <c r="H100" s="127"/>
      <c r="I100" s="127"/>
      <c r="J100" s="190"/>
    </row>
    <row r="101" spans="2:17">
      <c r="B101" s="192"/>
      <c r="C101" s="193"/>
      <c r="D101" s="193"/>
      <c r="E101" s="193"/>
      <c r="F101" s="193"/>
      <c r="G101" s="193"/>
      <c r="H101" s="193"/>
      <c r="I101" s="193"/>
      <c r="J101" s="194"/>
    </row>
    <row r="102" spans="2:17" ht="17.399999999999999" thickBot="1"/>
    <row r="103" spans="2:17" ht="90" customHeight="1" thickBot="1">
      <c r="B103" s="101" t="s">
        <v>37</v>
      </c>
      <c r="C103" s="105"/>
      <c r="D103" s="144" t="s">
        <v>89</v>
      </c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6"/>
    </row>
    <row r="104" spans="2:17">
      <c r="B104" s="5"/>
      <c r="C104" s="5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 spans="2:17" ht="17.399999999999999" thickBot="1"/>
    <row r="106" spans="2:17" ht="17.399999999999999" thickBot="1">
      <c r="B106" s="101" t="s">
        <v>38</v>
      </c>
      <c r="C106" s="105"/>
      <c r="D106" s="105"/>
      <c r="E106" s="8"/>
      <c r="F106" s="9"/>
      <c r="G106" s="9"/>
      <c r="H106" s="9"/>
      <c r="J106" s="101" t="s">
        <v>42</v>
      </c>
      <c r="K106" s="105"/>
      <c r="L106" s="105"/>
      <c r="M106" s="8"/>
      <c r="N106" s="9"/>
      <c r="O106" s="9"/>
    </row>
    <row r="107" spans="2:17" ht="17.399999999999999" thickBot="1">
      <c r="B107" s="74"/>
      <c r="C107" s="74"/>
      <c r="D107" s="74" t="s">
        <v>40</v>
      </c>
      <c r="E107" s="74"/>
      <c r="F107" s="74"/>
      <c r="G107" s="74"/>
      <c r="H107" s="74">
        <v>2025</v>
      </c>
      <c r="J107" s="78" t="s">
        <v>116</v>
      </c>
      <c r="K107" s="78" t="s">
        <v>122</v>
      </c>
      <c r="L107" s="78" t="s">
        <v>40</v>
      </c>
      <c r="M107" s="74"/>
      <c r="N107" s="74"/>
      <c r="O107" s="74"/>
      <c r="P107" s="74">
        <v>2025</v>
      </c>
    </row>
    <row r="108" spans="2:17" ht="50.4">
      <c r="B108" s="41"/>
      <c r="C108" s="42"/>
      <c r="D108" s="87">
        <f>SUM(F108:H108)</f>
        <v>522039.6</v>
      </c>
      <c r="E108" s="87"/>
      <c r="F108" s="87"/>
      <c r="G108" s="87"/>
      <c r="H108" s="87">
        <f>E173</f>
        <v>522039.6</v>
      </c>
      <c r="J108" s="84" t="s">
        <v>117</v>
      </c>
      <c r="K108" s="83" t="s">
        <v>133</v>
      </c>
      <c r="L108" s="85">
        <f>SUM(O108:P108)</f>
        <v>18696</v>
      </c>
      <c r="M108" s="86"/>
      <c r="N108" s="86"/>
      <c r="O108" s="86"/>
      <c r="P108" s="86">
        <f>E257</f>
        <v>18696</v>
      </c>
    </row>
    <row r="109" spans="2:17">
      <c r="B109" s="41"/>
      <c r="C109" s="42"/>
      <c r="D109" s="87">
        <f t="shared" ref="D109:D117" si="0">SUM(E109:G109)</f>
        <v>0</v>
      </c>
      <c r="E109" s="87"/>
      <c r="F109" s="87"/>
      <c r="G109" s="87"/>
      <c r="H109" s="87"/>
      <c r="J109" s="42" t="s">
        <v>123</v>
      </c>
      <c r="K109" s="83" t="s">
        <v>119</v>
      </c>
      <c r="L109" s="87">
        <f t="shared" ref="L109:L117" si="1">SUM(O109:P109)</f>
        <v>120000</v>
      </c>
      <c r="M109" s="87"/>
      <c r="N109" s="87"/>
      <c r="O109" s="87"/>
      <c r="P109" s="87">
        <f>E258</f>
        <v>120000</v>
      </c>
    </row>
    <row r="110" spans="2:17" ht="33.6">
      <c r="B110" s="41"/>
      <c r="C110" s="42"/>
      <c r="D110" s="87">
        <f t="shared" si="0"/>
        <v>0</v>
      </c>
      <c r="E110" s="87"/>
      <c r="F110" s="87"/>
      <c r="G110" s="87"/>
      <c r="H110" s="87"/>
      <c r="J110" s="42" t="s">
        <v>123</v>
      </c>
      <c r="K110" s="83" t="s">
        <v>120</v>
      </c>
      <c r="L110" s="87">
        <f t="shared" si="1"/>
        <v>88000</v>
      </c>
      <c r="M110" s="87"/>
      <c r="N110" s="87"/>
      <c r="O110" s="87"/>
      <c r="P110" s="87">
        <f>E259</f>
        <v>88000</v>
      </c>
    </row>
    <row r="111" spans="2:17" ht="33.6">
      <c r="B111" s="41"/>
      <c r="C111" s="42"/>
      <c r="D111" s="87">
        <f t="shared" si="0"/>
        <v>0</v>
      </c>
      <c r="E111" s="87"/>
      <c r="F111" s="87"/>
      <c r="G111" s="87"/>
      <c r="H111" s="87"/>
      <c r="J111" s="42" t="s">
        <v>123</v>
      </c>
      <c r="K111" s="83" t="s">
        <v>121</v>
      </c>
      <c r="L111" s="87">
        <f t="shared" si="1"/>
        <v>120000</v>
      </c>
      <c r="M111" s="87"/>
      <c r="N111" s="87"/>
      <c r="O111" s="87"/>
      <c r="P111" s="87">
        <f>E260</f>
        <v>120000</v>
      </c>
    </row>
    <row r="112" spans="2:17">
      <c r="B112" s="41"/>
      <c r="C112" s="42"/>
      <c r="D112" s="87">
        <f t="shared" si="0"/>
        <v>0</v>
      </c>
      <c r="E112" s="87"/>
      <c r="F112" s="87"/>
      <c r="G112" s="87"/>
      <c r="H112" s="87"/>
      <c r="J112" s="42" t="s">
        <v>124</v>
      </c>
      <c r="K112" s="83" t="s">
        <v>125</v>
      </c>
      <c r="L112" s="87">
        <f t="shared" si="1"/>
        <v>4000</v>
      </c>
      <c r="M112" s="87"/>
      <c r="N112" s="87"/>
      <c r="O112" s="87"/>
      <c r="P112" s="87">
        <f>E261</f>
        <v>4000</v>
      </c>
    </row>
    <row r="113" spans="2:16">
      <c r="B113" s="68"/>
      <c r="C113" s="69"/>
      <c r="D113" s="86">
        <f t="shared" si="0"/>
        <v>0</v>
      </c>
      <c r="E113" s="86"/>
      <c r="F113" s="86"/>
      <c r="G113" s="86"/>
      <c r="H113" s="86"/>
      <c r="J113" s="42" t="s">
        <v>126</v>
      </c>
      <c r="K113" s="83" t="s">
        <v>127</v>
      </c>
      <c r="L113" s="86">
        <f t="shared" si="1"/>
        <v>36000</v>
      </c>
      <c r="M113" s="86"/>
      <c r="N113" s="86"/>
      <c r="O113" s="86"/>
      <c r="P113" s="86">
        <f>E262</f>
        <v>36000</v>
      </c>
    </row>
    <row r="114" spans="2:16">
      <c r="B114" s="41"/>
      <c r="C114" s="42"/>
      <c r="D114" s="87">
        <f t="shared" si="0"/>
        <v>0</v>
      </c>
      <c r="E114" s="87"/>
      <c r="F114" s="87"/>
      <c r="G114" s="87"/>
      <c r="H114" s="87"/>
      <c r="J114" s="41"/>
      <c r="K114" s="60"/>
      <c r="L114" s="87">
        <f t="shared" si="1"/>
        <v>0</v>
      </c>
      <c r="M114" s="87"/>
      <c r="N114" s="87"/>
      <c r="O114" s="87"/>
      <c r="P114" s="87"/>
    </row>
    <row r="115" spans="2:16">
      <c r="B115" s="41"/>
      <c r="C115" s="42"/>
      <c r="D115" s="87">
        <f t="shared" si="0"/>
        <v>0</v>
      </c>
      <c r="E115" s="87"/>
      <c r="F115" s="87"/>
      <c r="G115" s="87"/>
      <c r="H115" s="87"/>
      <c r="J115" s="41"/>
      <c r="K115" s="60"/>
      <c r="L115" s="87">
        <f t="shared" si="1"/>
        <v>0</v>
      </c>
      <c r="M115" s="87"/>
      <c r="N115" s="87"/>
      <c r="O115" s="87"/>
      <c r="P115" s="87"/>
    </row>
    <row r="116" spans="2:16">
      <c r="B116" s="41"/>
      <c r="C116" s="42"/>
      <c r="D116" s="87">
        <f t="shared" si="0"/>
        <v>0</v>
      </c>
      <c r="E116" s="87"/>
      <c r="F116" s="87"/>
      <c r="G116" s="87"/>
      <c r="H116" s="87"/>
      <c r="J116" s="41"/>
      <c r="K116" s="60"/>
      <c r="L116" s="87">
        <f t="shared" si="1"/>
        <v>0</v>
      </c>
      <c r="M116" s="87"/>
      <c r="N116" s="87"/>
      <c r="O116" s="87"/>
      <c r="P116" s="87"/>
    </row>
    <row r="117" spans="2:16" ht="17.399999999999999" thickBot="1">
      <c r="B117" s="44"/>
      <c r="C117" s="32"/>
      <c r="D117" s="87">
        <f t="shared" si="0"/>
        <v>0</v>
      </c>
      <c r="E117" s="87"/>
      <c r="F117" s="87"/>
      <c r="G117" s="87"/>
      <c r="H117" s="87"/>
      <c r="J117" s="41"/>
      <c r="K117" s="60"/>
      <c r="L117" s="87">
        <f t="shared" si="1"/>
        <v>0</v>
      </c>
      <c r="M117" s="87"/>
      <c r="N117" s="87"/>
      <c r="O117" s="87"/>
      <c r="P117" s="87"/>
    </row>
    <row r="118" spans="2:16" ht="17.399999999999999" thickBot="1">
      <c r="B118" s="74" t="s">
        <v>41</v>
      </c>
      <c r="C118" s="74"/>
      <c r="D118" s="80">
        <f>SUM(D108:D117)</f>
        <v>522039.6</v>
      </c>
      <c r="E118" s="79">
        <f>SUM(E108:E117)</f>
        <v>0</v>
      </c>
      <c r="F118" s="79">
        <f>SUM(F108:F117)</f>
        <v>0</v>
      </c>
      <c r="G118" s="79">
        <f>SUM(G108:G117)</f>
        <v>0</v>
      </c>
      <c r="H118" s="79">
        <f>SUM(H108:H117)</f>
        <v>522039.6</v>
      </c>
      <c r="J118" s="41"/>
      <c r="K118" s="45"/>
      <c r="L118" s="87">
        <f t="shared" ref="L118:L127" si="2">SUM(M118:O118)</f>
        <v>0</v>
      </c>
      <c r="M118" s="87"/>
      <c r="N118" s="87"/>
      <c r="O118" s="87"/>
      <c r="P118" s="87"/>
    </row>
    <row r="119" spans="2:16">
      <c r="J119" s="41"/>
      <c r="K119" s="45"/>
      <c r="L119" s="87">
        <f t="shared" si="2"/>
        <v>0</v>
      </c>
      <c r="M119" s="87"/>
      <c r="N119" s="87"/>
      <c r="O119" s="87"/>
      <c r="P119" s="87"/>
    </row>
    <row r="120" spans="2:16" ht="17.399999999999999" thickBot="1">
      <c r="B120" s="195"/>
      <c r="C120" s="195"/>
      <c r="D120" s="195"/>
      <c r="E120" s="27"/>
      <c r="F120" s="25"/>
      <c r="G120" s="25"/>
      <c r="H120" s="25"/>
      <c r="J120" s="41"/>
      <c r="K120" s="45"/>
      <c r="L120" s="87">
        <f t="shared" si="2"/>
        <v>0</v>
      </c>
      <c r="M120" s="87"/>
      <c r="N120" s="87"/>
      <c r="O120" s="87"/>
      <c r="P120" s="87"/>
    </row>
    <row r="121" spans="2:16" ht="17.399999999999999" thickBot="1">
      <c r="B121" s="9"/>
      <c r="C121" s="74" t="s">
        <v>40</v>
      </c>
      <c r="D121" s="74"/>
      <c r="E121" s="74"/>
      <c r="F121" s="74"/>
      <c r="G121" s="74">
        <v>2025</v>
      </c>
      <c r="H121" s="25"/>
      <c r="J121" s="41"/>
      <c r="K121" s="45"/>
      <c r="L121" s="87">
        <f t="shared" si="2"/>
        <v>0</v>
      </c>
      <c r="M121" s="87"/>
      <c r="N121" s="87"/>
      <c r="O121" s="87"/>
      <c r="P121" s="87"/>
    </row>
    <row r="122" spans="2:16" ht="17.399999999999999" thickBot="1">
      <c r="B122" s="74" t="s">
        <v>32</v>
      </c>
      <c r="C122" s="46">
        <f>D118-L128</f>
        <v>135343.59999999998</v>
      </c>
      <c r="D122" s="46"/>
      <c r="E122" s="46"/>
      <c r="F122" s="46"/>
      <c r="G122" s="46">
        <f>H118-P128</f>
        <v>135343.59999999998</v>
      </c>
      <c r="H122" s="40"/>
      <c r="J122" s="41"/>
      <c r="K122" s="45"/>
      <c r="L122" s="87">
        <f t="shared" si="2"/>
        <v>0</v>
      </c>
      <c r="M122" s="87"/>
      <c r="N122" s="87"/>
      <c r="O122" s="87"/>
      <c r="P122" s="87"/>
    </row>
    <row r="123" spans="2:16" ht="17.399999999999999" thickBot="1">
      <c r="B123" s="74" t="s">
        <v>44</v>
      </c>
      <c r="C123" s="66">
        <f>C122/D118</f>
        <v>0.25925925925925924</v>
      </c>
      <c r="D123" s="66"/>
      <c r="E123" s="66"/>
      <c r="F123" s="66"/>
      <c r="G123" s="66">
        <f t="shared" ref="G123" si="3">G122/H118</f>
        <v>0.25925925925925924</v>
      </c>
      <c r="H123" s="40"/>
      <c r="J123" s="41"/>
      <c r="K123" s="45"/>
      <c r="L123" s="87">
        <f t="shared" si="2"/>
        <v>0</v>
      </c>
      <c r="M123" s="87"/>
      <c r="N123" s="87"/>
      <c r="O123" s="87"/>
      <c r="P123" s="87"/>
    </row>
    <row r="124" spans="2:16">
      <c r="B124" s="39"/>
      <c r="C124" s="39"/>
      <c r="D124" s="40"/>
      <c r="E124" s="40"/>
      <c r="F124" s="40"/>
      <c r="G124" s="40"/>
      <c r="H124" s="40"/>
      <c r="J124" s="41"/>
      <c r="K124" s="45"/>
      <c r="L124" s="87">
        <f t="shared" si="2"/>
        <v>0</v>
      </c>
      <c r="M124" s="87"/>
      <c r="N124" s="87"/>
      <c r="O124" s="87"/>
      <c r="P124" s="87"/>
    </row>
    <row r="125" spans="2:16">
      <c r="B125" s="39"/>
      <c r="C125" s="39"/>
      <c r="D125" s="40"/>
      <c r="E125" s="40"/>
      <c r="F125" s="40"/>
      <c r="G125" s="40"/>
      <c r="H125" s="40"/>
      <c r="J125" s="41"/>
      <c r="K125" s="45"/>
      <c r="L125" s="87">
        <f t="shared" si="2"/>
        <v>0</v>
      </c>
      <c r="M125" s="87"/>
      <c r="N125" s="87"/>
      <c r="O125" s="87"/>
      <c r="P125" s="87"/>
    </row>
    <row r="126" spans="2:16">
      <c r="B126" s="39"/>
      <c r="C126" s="39"/>
      <c r="D126" s="40"/>
      <c r="E126" s="40"/>
      <c r="F126" s="40"/>
      <c r="G126" s="40"/>
      <c r="H126" s="40"/>
      <c r="J126" s="41"/>
      <c r="K126" s="45"/>
      <c r="L126" s="87">
        <f t="shared" si="2"/>
        <v>0</v>
      </c>
      <c r="M126" s="87"/>
      <c r="N126" s="87"/>
      <c r="O126" s="87"/>
      <c r="P126" s="87"/>
    </row>
    <row r="127" spans="2:16" ht="17.399999999999999" thickBot="1">
      <c r="B127" s="39"/>
      <c r="C127" s="39"/>
      <c r="D127" s="40"/>
      <c r="E127" s="40"/>
      <c r="F127" s="40"/>
      <c r="G127" s="40"/>
      <c r="H127" s="40"/>
      <c r="J127" s="41"/>
      <c r="K127" s="45"/>
      <c r="L127" s="87">
        <f t="shared" si="2"/>
        <v>0</v>
      </c>
      <c r="M127" s="87"/>
      <c r="N127" s="87"/>
      <c r="O127" s="87"/>
      <c r="P127" s="87"/>
    </row>
    <row r="128" spans="2:16" ht="17.399999999999999" thickBot="1">
      <c r="B128" s="39"/>
      <c r="C128" s="39"/>
      <c r="D128" s="40"/>
      <c r="E128" s="40"/>
      <c r="F128" s="40"/>
      <c r="G128" s="40"/>
      <c r="H128" s="40"/>
      <c r="J128" s="74" t="s">
        <v>41</v>
      </c>
      <c r="K128" s="74"/>
      <c r="L128" s="79">
        <f>SUM(L108:L127)</f>
        <v>386696</v>
      </c>
      <c r="M128" s="79">
        <f>SUM(M108:M127)</f>
        <v>0</v>
      </c>
      <c r="N128" s="79">
        <f>SUM(N108:N127)</f>
        <v>0</v>
      </c>
      <c r="O128" s="79">
        <f>SUM(O108:O127)</f>
        <v>0</v>
      </c>
      <c r="P128" s="79">
        <f>SUM(P108:P127)</f>
        <v>386696</v>
      </c>
    </row>
    <row r="129" spans="2:17">
      <c r="B129" s="39"/>
      <c r="C129" s="39"/>
      <c r="D129" s="40"/>
      <c r="E129" s="40"/>
      <c r="F129" s="40"/>
      <c r="G129" s="40"/>
      <c r="H129" s="40"/>
    </row>
    <row r="131" spans="2:17">
      <c r="B131" s="6" t="s">
        <v>45</v>
      </c>
    </row>
    <row r="132" spans="2:17" ht="17.399999999999999" hidden="1" thickBot="1">
      <c r="B132" s="88" t="s">
        <v>81</v>
      </c>
      <c r="C132" s="89"/>
      <c r="D132" s="89"/>
      <c r="E132" s="89"/>
      <c r="F132" s="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2:17" ht="17.399999999999999" hidden="1" thickBot="1">
      <c r="B133" s="20" t="s">
        <v>39</v>
      </c>
      <c r="C133" s="20" t="s">
        <v>59</v>
      </c>
      <c r="D133" s="20" t="s">
        <v>5</v>
      </c>
      <c r="E133" s="20" t="s">
        <v>40</v>
      </c>
      <c r="F133" s="20" t="s">
        <v>46</v>
      </c>
      <c r="G133" s="20" t="s">
        <v>47</v>
      </c>
      <c r="H133" s="20" t="s">
        <v>48</v>
      </c>
      <c r="I133" s="20" t="s">
        <v>49</v>
      </c>
      <c r="J133" s="20" t="s">
        <v>50</v>
      </c>
      <c r="K133" s="20" t="s">
        <v>51</v>
      </c>
      <c r="L133" s="20" t="s">
        <v>52</v>
      </c>
      <c r="M133" s="20" t="s">
        <v>53</v>
      </c>
      <c r="N133" s="20" t="s">
        <v>54</v>
      </c>
      <c r="O133" s="20" t="s">
        <v>55</v>
      </c>
      <c r="P133" s="20" t="s">
        <v>56</v>
      </c>
      <c r="Q133" s="20" t="s">
        <v>57</v>
      </c>
    </row>
    <row r="134" spans="2:17" hidden="1">
      <c r="B134" s="48"/>
      <c r="D134" s="42"/>
      <c r="E134" s="43">
        <f t="shared" ref="E134:E140" si="4">SUM(F134:Q134)</f>
        <v>0</v>
      </c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7"/>
    </row>
    <row r="135" spans="2:17" hidden="1">
      <c r="B135" s="48"/>
      <c r="C135" s="49"/>
      <c r="D135" s="42"/>
      <c r="E135" s="43">
        <f t="shared" si="4"/>
        <v>0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</row>
    <row r="136" spans="2:17" hidden="1">
      <c r="B136" s="48"/>
      <c r="C136" s="49"/>
      <c r="D136" s="42"/>
      <c r="E136" s="43">
        <f t="shared" si="4"/>
        <v>0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7"/>
    </row>
    <row r="137" spans="2:17" hidden="1">
      <c r="B137" s="48"/>
      <c r="C137" s="49"/>
      <c r="D137" s="42"/>
      <c r="E137" s="43">
        <f t="shared" si="4"/>
        <v>0</v>
      </c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7"/>
    </row>
    <row r="138" spans="2:17" hidden="1">
      <c r="B138" s="48"/>
      <c r="C138" s="49"/>
      <c r="D138" s="42"/>
      <c r="E138" s="43">
        <f t="shared" si="4"/>
        <v>0</v>
      </c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7"/>
    </row>
    <row r="139" spans="2:17" hidden="1">
      <c r="B139" s="48"/>
      <c r="C139" s="49"/>
      <c r="D139" s="42"/>
      <c r="E139" s="43">
        <f t="shared" si="4"/>
        <v>0</v>
      </c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7"/>
    </row>
    <row r="140" spans="2:17" hidden="1">
      <c r="B140" s="48"/>
      <c r="C140" s="49"/>
      <c r="D140" s="42"/>
      <c r="E140" s="43">
        <f t="shared" si="4"/>
        <v>0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7"/>
    </row>
    <row r="141" spans="2:17" ht="17.399999999999999" hidden="1" thickBot="1">
      <c r="B141" s="20" t="s">
        <v>41</v>
      </c>
      <c r="C141" s="20"/>
      <c r="D141" s="20"/>
      <c r="E141" s="20">
        <f t="shared" ref="E141:Q141" si="5">SUM(E134:E140)</f>
        <v>0</v>
      </c>
      <c r="F141" s="20">
        <f t="shared" si="5"/>
        <v>0</v>
      </c>
      <c r="G141" s="20">
        <f t="shared" si="5"/>
        <v>0</v>
      </c>
      <c r="H141" s="20">
        <f t="shared" si="5"/>
        <v>0</v>
      </c>
      <c r="I141" s="20">
        <f t="shared" si="5"/>
        <v>0</v>
      </c>
      <c r="J141" s="20">
        <f t="shared" si="5"/>
        <v>0</v>
      </c>
      <c r="K141" s="20">
        <f t="shared" si="5"/>
        <v>0</v>
      </c>
      <c r="L141" s="20">
        <f t="shared" si="5"/>
        <v>0</v>
      </c>
      <c r="M141" s="20">
        <f t="shared" si="5"/>
        <v>0</v>
      </c>
      <c r="N141" s="20">
        <f t="shared" si="5"/>
        <v>0</v>
      </c>
      <c r="O141" s="20">
        <f t="shared" si="5"/>
        <v>0</v>
      </c>
      <c r="P141" s="20">
        <f t="shared" si="5"/>
        <v>0</v>
      </c>
      <c r="Q141" s="20">
        <f t="shared" si="5"/>
        <v>0</v>
      </c>
    </row>
    <row r="142" spans="2:17" hidden="1"/>
    <row r="143" spans="2:17" ht="17.399999999999999" hidden="1" thickBot="1">
      <c r="B143" s="88" t="s">
        <v>82</v>
      </c>
      <c r="C143" s="89"/>
      <c r="D143" s="89"/>
      <c r="E143" s="89"/>
      <c r="F143" s="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2:17" ht="17.399999999999999" hidden="1" thickBot="1">
      <c r="B144" s="20" t="s">
        <v>39</v>
      </c>
      <c r="C144" s="20" t="s">
        <v>59</v>
      </c>
      <c r="D144" s="20" t="s">
        <v>5</v>
      </c>
      <c r="E144" s="20" t="s">
        <v>40</v>
      </c>
      <c r="F144" s="20" t="s">
        <v>46</v>
      </c>
      <c r="G144" s="20" t="s">
        <v>47</v>
      </c>
      <c r="H144" s="20" t="s">
        <v>48</v>
      </c>
      <c r="I144" s="20" t="s">
        <v>49</v>
      </c>
      <c r="J144" s="20" t="s">
        <v>50</v>
      </c>
      <c r="K144" s="20" t="s">
        <v>51</v>
      </c>
      <c r="L144" s="20" t="s">
        <v>52</v>
      </c>
      <c r="M144" s="20" t="s">
        <v>53</v>
      </c>
      <c r="N144" s="20" t="s">
        <v>54</v>
      </c>
      <c r="O144" s="20" t="s">
        <v>55</v>
      </c>
      <c r="P144" s="20" t="s">
        <v>56</v>
      </c>
      <c r="Q144" s="20" t="s">
        <v>57</v>
      </c>
    </row>
    <row r="145" spans="2:17" hidden="1">
      <c r="B145" s="48">
        <v>70</v>
      </c>
      <c r="C145" s="49">
        <v>400</v>
      </c>
      <c r="D145" s="42">
        <v>1383</v>
      </c>
      <c r="E145" s="43">
        <v>0</v>
      </c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61">
        <v>7865915.8600000003</v>
      </c>
    </row>
    <row r="146" spans="2:17" hidden="1">
      <c r="B146" s="48"/>
      <c r="C146" s="49"/>
      <c r="D146" s="42"/>
      <c r="E146" s="43">
        <f t="shared" ref="E146:E154" si="6">SUM(F146:Q146)</f>
        <v>0</v>
      </c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</row>
    <row r="147" spans="2:17" hidden="1">
      <c r="B147" s="48"/>
      <c r="C147" s="49"/>
      <c r="D147" s="42"/>
      <c r="E147" s="43">
        <f t="shared" si="6"/>
        <v>0</v>
      </c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7"/>
    </row>
    <row r="148" spans="2:17" hidden="1">
      <c r="B148" s="48"/>
      <c r="C148" s="49"/>
      <c r="D148" s="42"/>
      <c r="E148" s="43">
        <f t="shared" si="6"/>
        <v>0</v>
      </c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7"/>
    </row>
    <row r="149" spans="2:17" hidden="1">
      <c r="B149" s="48"/>
      <c r="C149" s="49"/>
      <c r="D149" s="42"/>
      <c r="E149" s="43">
        <f t="shared" si="6"/>
        <v>0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7"/>
    </row>
    <row r="150" spans="2:17" hidden="1">
      <c r="B150" s="48"/>
      <c r="C150" s="49"/>
      <c r="D150" s="42"/>
      <c r="E150" s="43">
        <f t="shared" si="6"/>
        <v>0</v>
      </c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7"/>
    </row>
    <row r="151" spans="2:17" hidden="1">
      <c r="B151" s="48"/>
      <c r="C151" s="49"/>
      <c r="D151" s="42"/>
      <c r="E151" s="43">
        <f t="shared" si="6"/>
        <v>0</v>
      </c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7"/>
    </row>
    <row r="152" spans="2:17" hidden="1">
      <c r="B152" s="48"/>
      <c r="C152" s="49"/>
      <c r="D152" s="42"/>
      <c r="E152" s="43">
        <f t="shared" si="6"/>
        <v>0</v>
      </c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7"/>
    </row>
    <row r="153" spans="2:17" hidden="1">
      <c r="B153" s="48"/>
      <c r="C153" s="49"/>
      <c r="D153" s="42"/>
      <c r="E153" s="43">
        <f t="shared" si="6"/>
        <v>0</v>
      </c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7"/>
    </row>
    <row r="154" spans="2:17" hidden="1">
      <c r="B154" s="48"/>
      <c r="C154" s="49"/>
      <c r="D154" s="42"/>
      <c r="E154" s="43">
        <f t="shared" si="6"/>
        <v>0</v>
      </c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7"/>
    </row>
    <row r="155" spans="2:17" ht="17.399999999999999" hidden="1" thickBot="1">
      <c r="B155" s="20" t="s">
        <v>41</v>
      </c>
      <c r="C155" s="20"/>
      <c r="D155" s="20"/>
      <c r="E155" s="20">
        <f t="shared" ref="E155:Q155" si="7">SUM(E145:E154)</f>
        <v>0</v>
      </c>
      <c r="F155" s="20">
        <f t="shared" si="7"/>
        <v>0</v>
      </c>
      <c r="G155" s="20">
        <f t="shared" si="7"/>
        <v>0</v>
      </c>
      <c r="H155" s="20">
        <f t="shared" si="7"/>
        <v>0</v>
      </c>
      <c r="I155" s="20">
        <f t="shared" si="7"/>
        <v>0</v>
      </c>
      <c r="J155" s="20">
        <f t="shared" si="7"/>
        <v>0</v>
      </c>
      <c r="K155" s="20">
        <f t="shared" si="7"/>
        <v>0</v>
      </c>
      <c r="L155" s="20">
        <f t="shared" si="7"/>
        <v>0</v>
      </c>
      <c r="M155" s="20">
        <f t="shared" si="7"/>
        <v>0</v>
      </c>
      <c r="N155" s="20">
        <f t="shared" si="7"/>
        <v>0</v>
      </c>
      <c r="O155" s="20">
        <f t="shared" si="7"/>
        <v>0</v>
      </c>
      <c r="P155" s="20">
        <f t="shared" si="7"/>
        <v>0</v>
      </c>
      <c r="Q155" s="20">
        <f t="shared" si="7"/>
        <v>7865915.8600000003</v>
      </c>
    </row>
    <row r="156" spans="2:17" hidden="1"/>
    <row r="157" spans="2:17" ht="17.399999999999999" hidden="1" thickBot="1">
      <c r="B157" s="88" t="s">
        <v>83</v>
      </c>
      <c r="C157" s="89"/>
      <c r="D157" s="89"/>
      <c r="E157" s="89"/>
      <c r="F157" s="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2:17" ht="17.399999999999999" hidden="1" thickBot="1">
      <c r="B158" s="20" t="s">
        <v>39</v>
      </c>
      <c r="C158" s="20" t="s">
        <v>59</v>
      </c>
      <c r="D158" s="20" t="s">
        <v>5</v>
      </c>
      <c r="E158" s="20" t="s">
        <v>40</v>
      </c>
      <c r="F158" s="20" t="s">
        <v>46</v>
      </c>
      <c r="G158" s="20" t="s">
        <v>47</v>
      </c>
      <c r="H158" s="20" t="s">
        <v>48</v>
      </c>
      <c r="I158" s="20" t="s">
        <v>49</v>
      </c>
      <c r="J158" s="20" t="s">
        <v>50</v>
      </c>
      <c r="K158" s="20" t="s">
        <v>51</v>
      </c>
      <c r="L158" s="20" t="s">
        <v>52</v>
      </c>
      <c r="M158" s="20" t="s">
        <v>53</v>
      </c>
      <c r="N158" s="20" t="s">
        <v>54</v>
      </c>
      <c r="O158" s="20" t="s">
        <v>55</v>
      </c>
      <c r="P158" s="20" t="s">
        <v>56</v>
      </c>
      <c r="Q158" s="30" t="s">
        <v>57</v>
      </c>
    </row>
    <row r="159" spans="2:17" hidden="1">
      <c r="B159" s="48">
        <v>70</v>
      </c>
      <c r="C159" s="49">
        <v>400</v>
      </c>
      <c r="D159" s="42">
        <v>1383</v>
      </c>
      <c r="E159" s="43">
        <v>0</v>
      </c>
      <c r="F159" s="43"/>
      <c r="G159" s="43"/>
      <c r="H159" s="43"/>
      <c r="I159" s="43"/>
      <c r="J159" s="43"/>
      <c r="K159" s="43"/>
      <c r="L159" s="43"/>
      <c r="M159" s="43"/>
      <c r="N159" s="43">
        <v>6518673.8600000003</v>
      </c>
      <c r="O159" s="43"/>
      <c r="P159" s="43"/>
      <c r="Q159" s="47"/>
    </row>
    <row r="160" spans="2:17" hidden="1">
      <c r="B160" s="48"/>
      <c r="C160" s="49"/>
      <c r="D160" s="42"/>
      <c r="E160" s="43">
        <f t="shared" ref="E160:E168" si="8">SUM(F160:Q160)</f>
        <v>0</v>
      </c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7"/>
    </row>
    <row r="161" spans="2:17" hidden="1">
      <c r="B161" s="48"/>
      <c r="C161" s="49"/>
      <c r="D161" s="42"/>
      <c r="E161" s="43">
        <f t="shared" si="8"/>
        <v>0</v>
      </c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7"/>
    </row>
    <row r="162" spans="2:17" hidden="1">
      <c r="B162" s="48"/>
      <c r="C162" s="49"/>
      <c r="D162" s="42"/>
      <c r="E162" s="43">
        <f t="shared" si="8"/>
        <v>0</v>
      </c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7"/>
    </row>
    <row r="163" spans="2:17" hidden="1">
      <c r="B163" s="48"/>
      <c r="C163" s="49"/>
      <c r="D163" s="42"/>
      <c r="E163" s="43">
        <f t="shared" si="8"/>
        <v>0</v>
      </c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7"/>
    </row>
    <row r="164" spans="2:17" hidden="1">
      <c r="B164" s="48"/>
      <c r="C164" s="49"/>
      <c r="D164" s="42"/>
      <c r="E164" s="43">
        <f t="shared" si="8"/>
        <v>0</v>
      </c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7"/>
    </row>
    <row r="165" spans="2:17" hidden="1">
      <c r="B165" s="48"/>
      <c r="C165" s="49"/>
      <c r="D165" s="42"/>
      <c r="E165" s="43">
        <f t="shared" si="8"/>
        <v>0</v>
      </c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7"/>
    </row>
    <row r="166" spans="2:17" hidden="1">
      <c r="B166" s="48"/>
      <c r="C166" s="49"/>
      <c r="D166" s="42"/>
      <c r="E166" s="43">
        <f t="shared" si="8"/>
        <v>0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7"/>
    </row>
    <row r="167" spans="2:17" hidden="1">
      <c r="B167" s="48"/>
      <c r="C167" s="49"/>
      <c r="D167" s="42"/>
      <c r="E167" s="43">
        <f t="shared" si="8"/>
        <v>0</v>
      </c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7"/>
    </row>
    <row r="168" spans="2:17" hidden="1">
      <c r="B168" s="48"/>
      <c r="C168" s="49"/>
      <c r="D168" s="42"/>
      <c r="E168" s="43">
        <f t="shared" si="8"/>
        <v>0</v>
      </c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7"/>
    </row>
    <row r="169" spans="2:17" ht="17.399999999999999" hidden="1" thickBot="1">
      <c r="B169" s="20" t="s">
        <v>41</v>
      </c>
      <c r="C169" s="20"/>
      <c r="D169" s="20"/>
      <c r="E169" s="20">
        <f t="shared" ref="E169:Q169" si="9">SUM(E159:E168)</f>
        <v>0</v>
      </c>
      <c r="F169" s="20">
        <f t="shared" si="9"/>
        <v>0</v>
      </c>
      <c r="G169" s="20">
        <f t="shared" si="9"/>
        <v>0</v>
      </c>
      <c r="H169" s="20">
        <f t="shared" si="9"/>
        <v>0</v>
      </c>
      <c r="I169" s="20">
        <f t="shared" si="9"/>
        <v>0</v>
      </c>
      <c r="J169" s="20">
        <f t="shared" si="9"/>
        <v>0</v>
      </c>
      <c r="K169" s="20">
        <f t="shared" si="9"/>
        <v>0</v>
      </c>
      <c r="L169" s="20">
        <f t="shared" si="9"/>
        <v>0</v>
      </c>
      <c r="M169" s="20">
        <f t="shared" si="9"/>
        <v>0</v>
      </c>
      <c r="N169" s="20">
        <f t="shared" si="9"/>
        <v>6518673.8600000003</v>
      </c>
      <c r="O169" s="20">
        <f t="shared" si="9"/>
        <v>0</v>
      </c>
      <c r="P169" s="20">
        <f t="shared" si="9"/>
        <v>0</v>
      </c>
      <c r="Q169" s="30">
        <f t="shared" si="9"/>
        <v>0</v>
      </c>
    </row>
    <row r="170" spans="2:17" ht="17.399999999999999" thickBot="1"/>
    <row r="171" spans="2:17" ht="17.399999999999999" thickBot="1">
      <c r="B171" s="101" t="s">
        <v>85</v>
      </c>
      <c r="C171" s="105"/>
      <c r="D171" s="105"/>
      <c r="E171" s="105"/>
      <c r="F171" s="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2:17" ht="17.399999999999999" thickBot="1">
      <c r="B172" s="74" t="s">
        <v>39</v>
      </c>
      <c r="C172" s="74" t="s">
        <v>59</v>
      </c>
      <c r="D172" s="74" t="s">
        <v>5</v>
      </c>
      <c r="E172" s="74" t="s">
        <v>40</v>
      </c>
      <c r="F172" s="74" t="s">
        <v>46</v>
      </c>
      <c r="G172" s="74" t="s">
        <v>47</v>
      </c>
      <c r="H172" s="74" t="s">
        <v>48</v>
      </c>
      <c r="I172" s="74" t="s">
        <v>49</v>
      </c>
      <c r="J172" s="74" t="s">
        <v>50</v>
      </c>
      <c r="K172" s="74" t="s">
        <v>51</v>
      </c>
      <c r="L172" s="74" t="s">
        <v>52</v>
      </c>
      <c r="M172" s="74" t="s">
        <v>53</v>
      </c>
      <c r="N172" s="74" t="s">
        <v>54</v>
      </c>
      <c r="O172" s="74" t="s">
        <v>55</v>
      </c>
      <c r="P172" s="74" t="s">
        <v>56</v>
      </c>
      <c r="Q172" s="76" t="s">
        <v>57</v>
      </c>
    </row>
    <row r="173" spans="2:17">
      <c r="B173" s="48"/>
      <c r="C173" s="49"/>
      <c r="D173" s="42"/>
      <c r="E173" s="43">
        <f>SUM(N172:Q173)</f>
        <v>522039.6</v>
      </c>
      <c r="F173" s="43"/>
      <c r="G173" s="43"/>
      <c r="H173" s="43"/>
      <c r="I173" s="43"/>
      <c r="J173" s="43"/>
      <c r="K173" s="43"/>
      <c r="L173" s="43"/>
      <c r="M173" s="43"/>
      <c r="N173" s="43">
        <v>130509.9</v>
      </c>
      <c r="O173" s="43">
        <v>130509.9</v>
      </c>
      <c r="P173" s="43">
        <v>130509.9</v>
      </c>
      <c r="Q173" s="43">
        <v>130509.9</v>
      </c>
    </row>
    <row r="174" spans="2:17">
      <c r="B174" s="48"/>
      <c r="C174" s="49"/>
      <c r="D174" s="42"/>
      <c r="E174" s="43">
        <f t="shared" ref="E174:E182" si="10">SUM(F174:Q174)</f>
        <v>0</v>
      </c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</row>
    <row r="175" spans="2:17">
      <c r="B175" s="48"/>
      <c r="C175" s="49"/>
      <c r="D175" s="42"/>
      <c r="E175" s="43">
        <f t="shared" si="10"/>
        <v>0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</row>
    <row r="176" spans="2:17">
      <c r="B176" s="48"/>
      <c r="C176" s="49"/>
      <c r="D176" s="42"/>
      <c r="E176" s="43">
        <f t="shared" si="10"/>
        <v>0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</row>
    <row r="177" spans="2:17">
      <c r="B177" s="48"/>
      <c r="C177" s="49"/>
      <c r="D177" s="42"/>
      <c r="E177" s="43">
        <f t="shared" si="10"/>
        <v>0</v>
      </c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</row>
    <row r="178" spans="2:17">
      <c r="B178" s="48"/>
      <c r="C178" s="49"/>
      <c r="D178" s="42"/>
      <c r="E178" s="43">
        <f t="shared" si="10"/>
        <v>0</v>
      </c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</row>
    <row r="179" spans="2:17">
      <c r="B179" s="48"/>
      <c r="C179" s="49"/>
      <c r="D179" s="42"/>
      <c r="E179" s="43">
        <f t="shared" si="10"/>
        <v>0</v>
      </c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</row>
    <row r="180" spans="2:17">
      <c r="B180" s="48"/>
      <c r="C180" s="49"/>
      <c r="D180" s="42"/>
      <c r="E180" s="43">
        <f t="shared" si="10"/>
        <v>0</v>
      </c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</row>
    <row r="181" spans="2:17">
      <c r="B181" s="48"/>
      <c r="C181" s="49"/>
      <c r="D181" s="42"/>
      <c r="E181" s="43">
        <f t="shared" si="10"/>
        <v>0</v>
      </c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</row>
    <row r="182" spans="2:17" ht="17.399999999999999" thickBot="1">
      <c r="B182" s="48"/>
      <c r="C182" s="49"/>
      <c r="D182" s="42"/>
      <c r="E182" s="43">
        <f t="shared" si="10"/>
        <v>0</v>
      </c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</row>
    <row r="183" spans="2:17" ht="17.399999999999999" thickBot="1">
      <c r="B183" s="74" t="s">
        <v>41</v>
      </c>
      <c r="C183" s="74"/>
      <c r="D183" s="74"/>
      <c r="E183" s="74">
        <f t="shared" ref="E183:Q183" si="11">SUM(E173:E182)</f>
        <v>522039.6</v>
      </c>
      <c r="F183" s="74">
        <f t="shared" si="11"/>
        <v>0</v>
      </c>
      <c r="G183" s="74">
        <f t="shared" si="11"/>
        <v>0</v>
      </c>
      <c r="H183" s="74">
        <f t="shared" si="11"/>
        <v>0</v>
      </c>
      <c r="I183" s="74">
        <f t="shared" si="11"/>
        <v>0</v>
      </c>
      <c r="J183" s="74">
        <f t="shared" si="11"/>
        <v>0</v>
      </c>
      <c r="K183" s="74">
        <f t="shared" si="11"/>
        <v>0</v>
      </c>
      <c r="L183" s="74">
        <f t="shared" si="11"/>
        <v>0</v>
      </c>
      <c r="M183" s="74">
        <f t="shared" si="11"/>
        <v>0</v>
      </c>
      <c r="N183" s="74">
        <f t="shared" si="11"/>
        <v>130509.9</v>
      </c>
      <c r="O183" s="74">
        <f t="shared" si="11"/>
        <v>130509.9</v>
      </c>
      <c r="P183" s="74">
        <f t="shared" si="11"/>
        <v>130509.9</v>
      </c>
      <c r="Q183" s="76">
        <f t="shared" si="11"/>
        <v>130509.9</v>
      </c>
    </row>
    <row r="184" spans="2:17" ht="17.399999999999999" thickBot="1"/>
    <row r="185" spans="2:17" ht="17.399999999999999" thickBot="1">
      <c r="B185" s="101" t="s">
        <v>88</v>
      </c>
      <c r="C185" s="105"/>
      <c r="D185" s="105"/>
      <c r="E185" s="105"/>
      <c r="F185" s="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2:17" ht="17.399999999999999" thickBot="1">
      <c r="B186" s="74"/>
      <c r="C186" s="74" t="s">
        <v>116</v>
      </c>
      <c r="D186" s="74" t="s">
        <v>122</v>
      </c>
      <c r="E186" s="74" t="s">
        <v>40</v>
      </c>
      <c r="F186" s="74" t="s">
        <v>46</v>
      </c>
      <c r="G186" s="74" t="s">
        <v>47</v>
      </c>
      <c r="H186" s="74" t="s">
        <v>48</v>
      </c>
      <c r="I186" s="74" t="s">
        <v>49</v>
      </c>
      <c r="J186" s="74" t="s">
        <v>50</v>
      </c>
      <c r="K186" s="74" t="s">
        <v>51</v>
      </c>
      <c r="L186" s="74" t="s">
        <v>52</v>
      </c>
      <c r="M186" s="74" t="s">
        <v>53</v>
      </c>
      <c r="N186" s="74" t="s">
        <v>54</v>
      </c>
      <c r="O186" s="74" t="s">
        <v>55</v>
      </c>
      <c r="P186" s="74" t="s">
        <v>56</v>
      </c>
      <c r="Q186" s="74" t="s">
        <v>57</v>
      </c>
    </row>
    <row r="187" spans="2:17">
      <c r="B187" s="62"/>
      <c r="C187" s="49" t="s">
        <v>117</v>
      </c>
      <c r="D187" s="60" t="s">
        <v>118</v>
      </c>
      <c r="E187" s="43">
        <f t="shared" ref="E187:E192" si="12">SUM(F187:Q187)</f>
        <v>18696</v>
      </c>
      <c r="F187" s="63"/>
      <c r="G187" s="63"/>
      <c r="H187" s="63"/>
      <c r="I187" s="63"/>
      <c r="J187" s="63"/>
      <c r="K187" s="63"/>
      <c r="L187" s="63"/>
      <c r="M187" s="63"/>
      <c r="N187" s="63">
        <v>4674</v>
      </c>
      <c r="O187" s="63">
        <v>4674</v>
      </c>
      <c r="P187" s="63">
        <v>4674</v>
      </c>
      <c r="Q187" s="63">
        <v>4674</v>
      </c>
    </row>
    <row r="188" spans="2:17">
      <c r="B188" s="62"/>
      <c r="C188" s="49" t="s">
        <v>123</v>
      </c>
      <c r="D188" s="60" t="s">
        <v>119</v>
      </c>
      <c r="E188" s="43">
        <f t="shared" si="12"/>
        <v>120000</v>
      </c>
      <c r="F188" s="63"/>
      <c r="G188" s="63"/>
      <c r="H188" s="63"/>
      <c r="I188" s="63"/>
      <c r="J188" s="63"/>
      <c r="K188" s="63"/>
      <c r="L188" s="63"/>
      <c r="M188" s="63"/>
      <c r="N188" s="63">
        <v>30000</v>
      </c>
      <c r="O188" s="63">
        <v>30000</v>
      </c>
      <c r="P188" s="63">
        <v>30000</v>
      </c>
      <c r="Q188" s="63">
        <v>30000</v>
      </c>
    </row>
    <row r="189" spans="2:17">
      <c r="B189" s="62"/>
      <c r="C189" s="49" t="s">
        <v>123</v>
      </c>
      <c r="D189" s="60" t="s">
        <v>120</v>
      </c>
      <c r="E189" s="43">
        <f t="shared" si="12"/>
        <v>88000</v>
      </c>
      <c r="F189" s="63"/>
      <c r="G189" s="63"/>
      <c r="H189" s="63"/>
      <c r="I189" s="63"/>
      <c r="J189" s="63"/>
      <c r="K189" s="63"/>
      <c r="L189" s="63"/>
      <c r="M189" s="63"/>
      <c r="N189" s="63">
        <v>22000</v>
      </c>
      <c r="O189" s="63">
        <v>22000</v>
      </c>
      <c r="P189" s="63">
        <v>22000</v>
      </c>
      <c r="Q189" s="63">
        <v>22000</v>
      </c>
    </row>
    <row r="190" spans="2:17">
      <c r="B190" s="62"/>
      <c r="C190" s="49" t="s">
        <v>123</v>
      </c>
      <c r="D190" s="60" t="s">
        <v>121</v>
      </c>
      <c r="E190" s="43">
        <f t="shared" si="12"/>
        <v>120000</v>
      </c>
      <c r="F190" s="63"/>
      <c r="G190" s="63"/>
      <c r="H190" s="63"/>
      <c r="I190" s="63"/>
      <c r="J190" s="63"/>
      <c r="K190" s="63"/>
      <c r="L190" s="63"/>
      <c r="M190" s="63"/>
      <c r="N190" s="63">
        <v>30000</v>
      </c>
      <c r="O190" s="63">
        <v>30000</v>
      </c>
      <c r="P190" s="63">
        <v>30000</v>
      </c>
      <c r="Q190" s="63">
        <v>30000</v>
      </c>
    </row>
    <row r="191" spans="2:17">
      <c r="B191" s="62"/>
      <c r="C191" s="49" t="s">
        <v>124</v>
      </c>
      <c r="D191" s="60" t="s">
        <v>125</v>
      </c>
      <c r="E191" s="43">
        <f t="shared" si="12"/>
        <v>4000</v>
      </c>
      <c r="F191" s="63"/>
      <c r="G191" s="63"/>
      <c r="H191" s="63"/>
      <c r="I191" s="63"/>
      <c r="J191" s="63"/>
      <c r="K191" s="63"/>
      <c r="L191" s="63"/>
      <c r="M191" s="63"/>
      <c r="N191" s="63">
        <v>1000</v>
      </c>
      <c r="O191" s="63">
        <v>1000</v>
      </c>
      <c r="P191" s="63">
        <v>1000</v>
      </c>
      <c r="Q191" s="63">
        <v>1000</v>
      </c>
    </row>
    <row r="192" spans="2:17">
      <c r="B192" s="62"/>
      <c r="C192" s="49" t="s">
        <v>126</v>
      </c>
      <c r="D192" s="60" t="s">
        <v>127</v>
      </c>
      <c r="E192" s="43">
        <f t="shared" si="12"/>
        <v>36000</v>
      </c>
      <c r="F192" s="63"/>
      <c r="G192" s="63"/>
      <c r="H192" s="63"/>
      <c r="I192" s="63"/>
      <c r="J192" s="63"/>
      <c r="K192" s="63"/>
      <c r="L192" s="63"/>
      <c r="M192" s="63"/>
      <c r="N192" s="63">
        <v>9000</v>
      </c>
      <c r="O192" s="63">
        <v>9000</v>
      </c>
      <c r="P192" s="63">
        <v>9000</v>
      </c>
      <c r="Q192" s="63">
        <v>9000</v>
      </c>
    </row>
    <row r="193" spans="2:17">
      <c r="B193" s="62"/>
      <c r="C193" s="49"/>
      <c r="D193" s="60"/>
      <c r="E193" s="4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</row>
    <row r="194" spans="2:17">
      <c r="B194" s="62"/>
      <c r="C194" s="49"/>
      <c r="D194" s="60"/>
      <c r="E194" s="4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</row>
    <row r="195" spans="2:17">
      <c r="B195" s="62"/>
      <c r="C195" s="49"/>
      <c r="D195" s="60"/>
      <c r="E195" s="43"/>
      <c r="F195" s="63"/>
      <c r="G195" s="43"/>
      <c r="H195" s="63"/>
      <c r="I195" s="43"/>
      <c r="J195" s="63"/>
      <c r="K195" s="43"/>
      <c r="L195" s="63"/>
      <c r="M195" s="43"/>
      <c r="N195" s="63"/>
      <c r="O195" s="43"/>
      <c r="P195" s="63"/>
      <c r="Q195" s="63"/>
    </row>
    <row r="196" spans="2:17">
      <c r="B196" s="48"/>
      <c r="C196" s="49"/>
      <c r="D196" s="42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</row>
    <row r="197" spans="2:17">
      <c r="B197" s="48"/>
      <c r="C197" s="49"/>
      <c r="D197" s="42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</row>
    <row r="198" spans="2:17">
      <c r="B198" s="48"/>
      <c r="C198" s="49"/>
      <c r="D198" s="42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</row>
    <row r="199" spans="2:17">
      <c r="B199" s="48"/>
      <c r="C199" s="49"/>
      <c r="D199" s="42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</row>
    <row r="200" spans="2:17">
      <c r="B200" s="48"/>
      <c r="C200" s="49"/>
      <c r="D200" s="42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</row>
    <row r="201" spans="2:17" ht="17.399999999999999" thickBot="1">
      <c r="B201" s="48"/>
      <c r="C201" s="49"/>
      <c r="D201" s="42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</row>
    <row r="202" spans="2:17" ht="17.399999999999999" thickBot="1">
      <c r="B202" s="81" t="s">
        <v>41</v>
      </c>
      <c r="C202" s="81"/>
      <c r="D202" s="81"/>
      <c r="E202" s="82">
        <f>SUM(E187:E201)</f>
        <v>386696</v>
      </c>
      <c r="F202" s="80">
        <f>SUM(F187:F201)</f>
        <v>0</v>
      </c>
      <c r="G202" s="74">
        <f t="shared" ref="G202:Q202" si="13">SUM(G187:G201)</f>
        <v>0</v>
      </c>
      <c r="H202" s="74">
        <f t="shared" si="13"/>
        <v>0</v>
      </c>
      <c r="I202" s="74">
        <f t="shared" si="13"/>
        <v>0</v>
      </c>
      <c r="J202" s="74">
        <f t="shared" si="13"/>
        <v>0</v>
      </c>
      <c r="K202" s="74">
        <f t="shared" si="13"/>
        <v>0</v>
      </c>
      <c r="L202" s="74">
        <f t="shared" si="13"/>
        <v>0</v>
      </c>
      <c r="M202" s="74">
        <f t="shared" si="13"/>
        <v>0</v>
      </c>
      <c r="N202" s="74">
        <f t="shared" si="13"/>
        <v>96674</v>
      </c>
      <c r="O202" s="74">
        <f t="shared" si="13"/>
        <v>96674</v>
      </c>
      <c r="P202" s="74">
        <f t="shared" si="13"/>
        <v>96674</v>
      </c>
      <c r="Q202" s="74">
        <f t="shared" si="13"/>
        <v>96674</v>
      </c>
    </row>
    <row r="203" spans="2:17" ht="17.399999999999999" thickBot="1"/>
    <row r="204" spans="2:17" ht="17.399999999999999" thickBot="1">
      <c r="B204" s="81" t="s">
        <v>58</v>
      </c>
      <c r="C204" s="185" t="s">
        <v>106</v>
      </c>
      <c r="D204" s="186"/>
      <c r="E204" s="186"/>
      <c r="F204" s="186"/>
      <c r="G204" s="186"/>
      <c r="H204" s="186"/>
      <c r="I204" s="186"/>
      <c r="J204" s="187"/>
    </row>
    <row r="209" spans="2:17" ht="17.399999999999999" hidden="1" customHeight="1" thickBot="1">
      <c r="B209" s="88" t="s">
        <v>86</v>
      </c>
      <c r="C209" s="89"/>
      <c r="D209" s="89"/>
      <c r="E209" s="89"/>
      <c r="F209" s="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2:17" ht="17.399999999999999" hidden="1" customHeight="1" thickBot="1">
      <c r="B210" s="20" t="s">
        <v>39</v>
      </c>
      <c r="C210" s="20" t="s">
        <v>59</v>
      </c>
      <c r="D210" s="20" t="s">
        <v>43</v>
      </c>
      <c r="E210" s="20" t="s">
        <v>40</v>
      </c>
      <c r="F210" s="20" t="s">
        <v>46</v>
      </c>
      <c r="G210" s="20" t="s">
        <v>47</v>
      </c>
      <c r="H210" s="20" t="s">
        <v>48</v>
      </c>
      <c r="I210" s="20" t="s">
        <v>49</v>
      </c>
      <c r="J210" s="20" t="s">
        <v>50</v>
      </c>
      <c r="K210" s="20" t="s">
        <v>51</v>
      </c>
      <c r="L210" s="20" t="s">
        <v>52</v>
      </c>
      <c r="M210" s="20" t="s">
        <v>53</v>
      </c>
      <c r="N210" s="20" t="s">
        <v>54</v>
      </c>
      <c r="O210" s="20" t="s">
        <v>55</v>
      </c>
      <c r="P210" s="20" t="s">
        <v>56</v>
      </c>
      <c r="Q210" s="20" t="s">
        <v>57</v>
      </c>
    </row>
    <row r="211" spans="2:17" ht="16.8" hidden="1" customHeight="1">
      <c r="B211" s="48"/>
      <c r="C211" s="49"/>
      <c r="D211" s="42"/>
      <c r="E211" s="43">
        <f t="shared" ref="E211:E220" si="14">SUM(F211:Q211)</f>
        <v>0</v>
      </c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7"/>
    </row>
    <row r="212" spans="2:17" ht="16.8" hidden="1" customHeight="1">
      <c r="B212" s="48"/>
      <c r="C212" s="49"/>
      <c r="D212" s="42"/>
      <c r="E212" s="43">
        <f t="shared" si="14"/>
        <v>0</v>
      </c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</row>
    <row r="213" spans="2:17" ht="16.8" hidden="1" customHeight="1">
      <c r="B213" s="48"/>
      <c r="C213" s="49"/>
      <c r="D213" s="42"/>
      <c r="E213" s="43">
        <f t="shared" si="14"/>
        <v>0</v>
      </c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7"/>
    </row>
    <row r="214" spans="2:17" ht="16.8" hidden="1" customHeight="1">
      <c r="B214" s="48"/>
      <c r="C214" s="49"/>
      <c r="D214" s="42"/>
      <c r="E214" s="43">
        <f t="shared" si="14"/>
        <v>0</v>
      </c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7"/>
    </row>
    <row r="215" spans="2:17" ht="16.8" hidden="1" customHeight="1">
      <c r="B215" s="48"/>
      <c r="C215" s="49"/>
      <c r="D215" s="42"/>
      <c r="E215" s="43">
        <f t="shared" si="14"/>
        <v>0</v>
      </c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7"/>
    </row>
    <row r="216" spans="2:17" ht="16.8" hidden="1" customHeight="1">
      <c r="B216" s="48"/>
      <c r="C216" s="49"/>
      <c r="D216" s="42"/>
      <c r="E216" s="43">
        <f t="shared" si="14"/>
        <v>0</v>
      </c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7"/>
    </row>
    <row r="217" spans="2:17" ht="16.8" hidden="1" customHeight="1">
      <c r="B217" s="48"/>
      <c r="C217" s="49"/>
      <c r="D217" s="42"/>
      <c r="E217" s="43">
        <f t="shared" si="14"/>
        <v>0</v>
      </c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7"/>
    </row>
    <row r="218" spans="2:17" ht="16.8" hidden="1" customHeight="1">
      <c r="B218" s="48"/>
      <c r="C218" s="49"/>
      <c r="D218" s="42"/>
      <c r="E218" s="43">
        <f t="shared" si="14"/>
        <v>0</v>
      </c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7"/>
    </row>
    <row r="219" spans="2:17" ht="16.8" hidden="1" customHeight="1">
      <c r="B219" s="48"/>
      <c r="C219" s="49"/>
      <c r="D219" s="42"/>
      <c r="E219" s="43">
        <f t="shared" si="14"/>
        <v>0</v>
      </c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7"/>
    </row>
    <row r="220" spans="2:17" ht="16.8" hidden="1" customHeight="1" thickBot="1">
      <c r="B220" s="48"/>
      <c r="C220" s="49"/>
      <c r="D220" s="42"/>
      <c r="E220" s="43">
        <f t="shared" si="14"/>
        <v>0</v>
      </c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7"/>
    </row>
    <row r="221" spans="2:17" ht="17.399999999999999" hidden="1" customHeight="1" thickBot="1">
      <c r="B221" s="20" t="s">
        <v>41</v>
      </c>
      <c r="C221" s="20"/>
      <c r="D221" s="20"/>
      <c r="E221" s="20">
        <f t="shared" ref="E221:Q221" si="15">SUM(E211:E220)</f>
        <v>0</v>
      </c>
      <c r="F221" s="20">
        <f t="shared" si="15"/>
        <v>0</v>
      </c>
      <c r="G221" s="20">
        <f t="shared" si="15"/>
        <v>0</v>
      </c>
      <c r="H221" s="20">
        <f t="shared" si="15"/>
        <v>0</v>
      </c>
      <c r="I221" s="20">
        <f t="shared" si="15"/>
        <v>0</v>
      </c>
      <c r="J221" s="20">
        <f t="shared" si="15"/>
        <v>0</v>
      </c>
      <c r="K221" s="20">
        <f t="shared" si="15"/>
        <v>0</v>
      </c>
      <c r="L221" s="20">
        <f t="shared" si="15"/>
        <v>0</v>
      </c>
      <c r="M221" s="20">
        <f t="shared" si="15"/>
        <v>0</v>
      </c>
      <c r="N221" s="20">
        <f t="shared" si="15"/>
        <v>0</v>
      </c>
      <c r="O221" s="20">
        <f t="shared" si="15"/>
        <v>0</v>
      </c>
      <c r="P221" s="20">
        <f t="shared" si="15"/>
        <v>0</v>
      </c>
      <c r="Q221" s="20">
        <f t="shared" si="15"/>
        <v>0</v>
      </c>
    </row>
    <row r="222" spans="2:17" ht="16.8" hidden="1" customHeight="1"/>
    <row r="223" spans="2:17" ht="16.8" hidden="1" customHeight="1" thickBot="1"/>
    <row r="224" spans="2:17" ht="17.399999999999999" hidden="1" customHeight="1" thickBot="1">
      <c r="B224" s="88" t="s">
        <v>87</v>
      </c>
      <c r="C224" s="89"/>
      <c r="D224" s="89"/>
      <c r="E224" s="89"/>
      <c r="F224" s="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2:17" ht="17.399999999999999" hidden="1" customHeight="1" thickBot="1">
      <c r="B225" s="20" t="s">
        <v>39</v>
      </c>
      <c r="C225" s="20" t="s">
        <v>59</v>
      </c>
      <c r="D225" s="20" t="s">
        <v>43</v>
      </c>
      <c r="E225" s="20" t="s">
        <v>40</v>
      </c>
      <c r="F225" s="20" t="s">
        <v>46</v>
      </c>
      <c r="G225" s="20" t="s">
        <v>47</v>
      </c>
      <c r="H225" s="20" t="s">
        <v>48</v>
      </c>
      <c r="I225" s="20" t="s">
        <v>49</v>
      </c>
      <c r="J225" s="20" t="s">
        <v>50</v>
      </c>
      <c r="K225" s="20" t="s">
        <v>51</v>
      </c>
      <c r="L225" s="20" t="s">
        <v>52</v>
      </c>
      <c r="M225" s="20" t="s">
        <v>53</v>
      </c>
      <c r="N225" s="20" t="s">
        <v>54</v>
      </c>
      <c r="O225" s="20" t="s">
        <v>55</v>
      </c>
      <c r="P225" s="20" t="s">
        <v>56</v>
      </c>
      <c r="Q225" s="20" t="s">
        <v>57</v>
      </c>
    </row>
    <row r="226" spans="2:17" ht="16.8" hidden="1" customHeight="1">
      <c r="B226" s="48"/>
      <c r="C226" s="49"/>
      <c r="D226" s="42"/>
      <c r="E226" s="43">
        <f t="shared" ref="E226:E235" si="16">SUM(F226:Q226)</f>
        <v>0</v>
      </c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7"/>
    </row>
    <row r="227" spans="2:17" ht="16.8" hidden="1" customHeight="1">
      <c r="B227" s="48"/>
      <c r="C227" s="49"/>
      <c r="D227" s="42"/>
      <c r="E227" s="43">
        <f t="shared" si="16"/>
        <v>0</v>
      </c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</row>
    <row r="228" spans="2:17" hidden="1">
      <c r="B228" s="48"/>
      <c r="C228" s="49"/>
      <c r="D228" s="42"/>
      <c r="E228" s="43">
        <f t="shared" si="16"/>
        <v>0</v>
      </c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7"/>
    </row>
    <row r="229" spans="2:17" hidden="1">
      <c r="B229" s="48"/>
      <c r="C229" s="49"/>
      <c r="D229" s="42"/>
      <c r="E229" s="43">
        <f t="shared" si="16"/>
        <v>0</v>
      </c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7"/>
    </row>
    <row r="230" spans="2:17" hidden="1">
      <c r="B230" s="48"/>
      <c r="C230" s="49"/>
      <c r="D230" s="42"/>
      <c r="E230" s="43">
        <f t="shared" si="16"/>
        <v>0</v>
      </c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7"/>
    </row>
    <row r="231" spans="2:17" hidden="1">
      <c r="B231" s="48"/>
      <c r="C231" s="49"/>
      <c r="D231" s="42"/>
      <c r="E231" s="43">
        <f t="shared" si="16"/>
        <v>0</v>
      </c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7"/>
    </row>
    <row r="232" spans="2:17" hidden="1">
      <c r="B232" s="48"/>
      <c r="C232" s="49"/>
      <c r="D232" s="42"/>
      <c r="E232" s="43">
        <f t="shared" si="16"/>
        <v>0</v>
      </c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7"/>
    </row>
    <row r="233" spans="2:17" hidden="1">
      <c r="B233" s="48"/>
      <c r="C233" s="49"/>
      <c r="D233" s="42"/>
      <c r="E233" s="43">
        <f t="shared" si="16"/>
        <v>0</v>
      </c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7"/>
    </row>
    <row r="234" spans="2:17" hidden="1">
      <c r="B234" s="48"/>
      <c r="C234" s="49"/>
      <c r="D234" s="42"/>
      <c r="E234" s="43">
        <f t="shared" si="16"/>
        <v>0</v>
      </c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7"/>
    </row>
    <row r="235" spans="2:17" ht="17.399999999999999" hidden="1" thickBot="1">
      <c r="B235" s="48"/>
      <c r="C235" s="49"/>
      <c r="D235" s="42"/>
      <c r="E235" s="43">
        <f t="shared" si="16"/>
        <v>0</v>
      </c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7"/>
    </row>
    <row r="236" spans="2:17" ht="17.399999999999999" hidden="1" thickBot="1">
      <c r="B236" s="20" t="s">
        <v>41</v>
      </c>
      <c r="C236" s="20"/>
      <c r="D236" s="20"/>
      <c r="E236" s="20">
        <f>SUM(E226:E235)</f>
        <v>0</v>
      </c>
      <c r="F236" s="20">
        <f>SUM(F226:F235)</f>
        <v>0</v>
      </c>
      <c r="G236" s="20">
        <f>SUM(G226:G235)</f>
        <v>0</v>
      </c>
      <c r="H236" s="20">
        <f>SUM(H226:H235)</f>
        <v>0</v>
      </c>
      <c r="I236" s="20">
        <f>SUM(I226:I235)</f>
        <v>0</v>
      </c>
      <c r="J236" s="20">
        <f>SUM(J226:J235)</f>
        <v>0</v>
      </c>
      <c r="K236" s="20">
        <f>SUM(K226:K235)</f>
        <v>0</v>
      </c>
      <c r="L236" s="20">
        <f>SUM(L226:L235)</f>
        <v>0</v>
      </c>
      <c r="M236" s="20">
        <f>SUM(M226:M235)</f>
        <v>0</v>
      </c>
      <c r="N236" s="20">
        <f>SUM(N226:N235)</f>
        <v>0</v>
      </c>
      <c r="O236" s="20">
        <f>SUM(O226:O235)</f>
        <v>0</v>
      </c>
      <c r="P236" s="20">
        <f>SUM(P226:P235)</f>
        <v>0</v>
      </c>
      <c r="Q236" s="20">
        <f>SUM(Q226:Q235)</f>
        <v>0</v>
      </c>
    </row>
    <row r="237" spans="2:17" hidden="1"/>
    <row r="238" spans="2:17" ht="17.399999999999999" hidden="1" thickBot="1"/>
    <row r="239" spans="2:17" ht="17.399999999999999" hidden="1" thickBot="1">
      <c r="B239" s="88" t="s">
        <v>84</v>
      </c>
      <c r="C239" s="89"/>
      <c r="D239" s="89"/>
      <c r="E239" s="89"/>
      <c r="F239" s="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2:17" ht="17.399999999999999" hidden="1" thickBot="1">
      <c r="B240" s="20" t="s">
        <v>39</v>
      </c>
      <c r="C240" s="20" t="s">
        <v>59</v>
      </c>
      <c r="D240" s="20" t="s">
        <v>43</v>
      </c>
      <c r="E240" s="20" t="s">
        <v>40</v>
      </c>
      <c r="F240" s="20" t="s">
        <v>46</v>
      </c>
      <c r="G240" s="20" t="s">
        <v>47</v>
      </c>
      <c r="H240" s="20" t="s">
        <v>48</v>
      </c>
      <c r="I240" s="20" t="s">
        <v>49</v>
      </c>
      <c r="J240" s="20" t="s">
        <v>50</v>
      </c>
      <c r="K240" s="20" t="s">
        <v>51</v>
      </c>
      <c r="L240" s="20" t="s">
        <v>52</v>
      </c>
      <c r="M240" s="20" t="s">
        <v>53</v>
      </c>
      <c r="N240" s="20" t="s">
        <v>54</v>
      </c>
      <c r="O240" s="20" t="s">
        <v>55</v>
      </c>
      <c r="P240" s="20" t="s">
        <v>56</v>
      </c>
      <c r="Q240" s="20" t="s">
        <v>57</v>
      </c>
    </row>
    <row r="241" spans="2:17" hidden="1">
      <c r="B241" s="62"/>
      <c r="C241" s="49"/>
      <c r="D241" s="60"/>
      <c r="E241" s="43">
        <v>0</v>
      </c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</row>
    <row r="242" spans="2:17" hidden="1">
      <c r="B242" s="62"/>
      <c r="C242" s="49"/>
      <c r="D242" s="60"/>
      <c r="E242" s="43">
        <v>0</v>
      </c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</row>
    <row r="243" spans="2:17" hidden="1">
      <c r="B243" s="62"/>
      <c r="C243" s="49"/>
      <c r="D243" s="60"/>
      <c r="E243" s="43">
        <v>0</v>
      </c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</row>
    <row r="244" spans="2:17" hidden="1">
      <c r="B244" s="62"/>
      <c r="C244" s="49"/>
      <c r="D244" s="60"/>
      <c r="E244" s="43">
        <v>0</v>
      </c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</row>
    <row r="245" spans="2:17" hidden="1">
      <c r="B245" s="62"/>
      <c r="C245" s="49"/>
      <c r="D245" s="60"/>
      <c r="E245" s="43">
        <v>0</v>
      </c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</row>
    <row r="246" spans="2:17" hidden="1">
      <c r="B246" s="62"/>
      <c r="C246" s="49"/>
      <c r="D246" s="60"/>
      <c r="E246" s="43">
        <v>0</v>
      </c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</row>
    <row r="247" spans="2:17" hidden="1">
      <c r="B247" s="62"/>
      <c r="C247" s="49"/>
      <c r="D247" s="60"/>
      <c r="E247" s="43">
        <v>0</v>
      </c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</row>
    <row r="248" spans="2:17" hidden="1">
      <c r="B248" s="62"/>
      <c r="C248" s="49"/>
      <c r="D248" s="60"/>
      <c r="E248" s="43">
        <v>0</v>
      </c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</row>
    <row r="249" spans="2:17" hidden="1">
      <c r="B249" s="62"/>
      <c r="C249" s="49"/>
      <c r="D249" s="60"/>
      <c r="E249" s="43">
        <v>0</v>
      </c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</row>
    <row r="250" spans="2:17" ht="17.399999999999999" hidden="1" thickBot="1">
      <c r="B250" s="48"/>
      <c r="C250" s="49"/>
      <c r="D250" s="42"/>
      <c r="E250" s="43">
        <v>0</v>
      </c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7"/>
    </row>
    <row r="251" spans="2:17" ht="17.399999999999999" hidden="1" thickBot="1">
      <c r="B251" s="20" t="s">
        <v>41</v>
      </c>
      <c r="C251" s="20"/>
      <c r="D251" s="20"/>
      <c r="E251" s="20">
        <f t="shared" ref="E251:Q251" si="17">SUM(E241:E250)</f>
        <v>0</v>
      </c>
      <c r="F251" s="20">
        <f t="shared" si="17"/>
        <v>0</v>
      </c>
      <c r="G251" s="20">
        <f t="shared" si="17"/>
        <v>0</v>
      </c>
      <c r="H251" s="20">
        <f t="shared" si="17"/>
        <v>0</v>
      </c>
      <c r="I251" s="20">
        <f t="shared" si="17"/>
        <v>0</v>
      </c>
      <c r="J251" s="20">
        <f t="shared" si="17"/>
        <v>0</v>
      </c>
      <c r="K251" s="20">
        <f t="shared" si="17"/>
        <v>0</v>
      </c>
      <c r="L251" s="20">
        <f t="shared" si="17"/>
        <v>0</v>
      </c>
      <c r="M251" s="20">
        <f t="shared" si="17"/>
        <v>0</v>
      </c>
      <c r="N251" s="20">
        <f t="shared" si="17"/>
        <v>0</v>
      </c>
      <c r="O251" s="20">
        <f t="shared" si="17"/>
        <v>0</v>
      </c>
      <c r="P251" s="20">
        <f t="shared" si="17"/>
        <v>0</v>
      </c>
      <c r="Q251" s="20">
        <f t="shared" si="17"/>
        <v>0</v>
      </c>
    </row>
    <row r="254" spans="2:17" ht="17.399999999999999" thickBot="1"/>
    <row r="255" spans="2:17" ht="17.399999999999999" thickBot="1">
      <c r="B255" s="101" t="s">
        <v>88</v>
      </c>
      <c r="C255" s="105"/>
      <c r="D255" s="105"/>
      <c r="E255" s="105"/>
      <c r="F255" s="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2:17" ht="17.399999999999999" thickBot="1">
      <c r="B256" s="74"/>
      <c r="C256" s="74" t="s">
        <v>116</v>
      </c>
      <c r="D256" s="74" t="s">
        <v>122</v>
      </c>
      <c r="E256" s="74" t="s">
        <v>40</v>
      </c>
      <c r="F256" s="74" t="s">
        <v>46</v>
      </c>
      <c r="G256" s="74" t="s">
        <v>47</v>
      </c>
      <c r="H256" s="74" t="s">
        <v>48</v>
      </c>
      <c r="I256" s="74" t="s">
        <v>49</v>
      </c>
      <c r="J256" s="74" t="s">
        <v>50</v>
      </c>
      <c r="K256" s="74" t="s">
        <v>51</v>
      </c>
      <c r="L256" s="74" t="s">
        <v>52</v>
      </c>
      <c r="M256" s="74" t="s">
        <v>53</v>
      </c>
      <c r="N256" s="74" t="s">
        <v>54</v>
      </c>
      <c r="O256" s="74" t="s">
        <v>55</v>
      </c>
      <c r="P256" s="74" t="s">
        <v>56</v>
      </c>
      <c r="Q256" s="74" t="s">
        <v>57</v>
      </c>
    </row>
    <row r="257" spans="2:17">
      <c r="B257" s="62"/>
      <c r="C257" s="49" t="s">
        <v>117</v>
      </c>
      <c r="D257" s="60" t="s">
        <v>118</v>
      </c>
      <c r="E257" s="43">
        <f t="shared" ref="E257:E262" si="18">SUM(F257:Q257)</f>
        <v>18696</v>
      </c>
      <c r="F257" s="63"/>
      <c r="G257" s="63"/>
      <c r="H257" s="63"/>
      <c r="I257" s="63"/>
      <c r="J257" s="63"/>
      <c r="K257" s="63"/>
      <c r="L257" s="63"/>
      <c r="M257" s="63"/>
      <c r="N257" s="63">
        <v>4674</v>
      </c>
      <c r="O257" s="63">
        <v>4674</v>
      </c>
      <c r="P257" s="63">
        <v>4674</v>
      </c>
      <c r="Q257" s="63">
        <v>4674</v>
      </c>
    </row>
    <row r="258" spans="2:17">
      <c r="B258" s="62"/>
      <c r="C258" s="49" t="s">
        <v>123</v>
      </c>
      <c r="D258" s="60" t="s">
        <v>119</v>
      </c>
      <c r="E258" s="43">
        <f t="shared" si="18"/>
        <v>120000</v>
      </c>
      <c r="F258" s="63"/>
      <c r="G258" s="63"/>
      <c r="H258" s="63"/>
      <c r="I258" s="63"/>
      <c r="J258" s="63"/>
      <c r="K258" s="63"/>
      <c r="L258" s="63"/>
      <c r="M258" s="63"/>
      <c r="N258" s="63">
        <v>30000</v>
      </c>
      <c r="O258" s="63">
        <v>30000</v>
      </c>
      <c r="P258" s="63">
        <v>30000</v>
      </c>
      <c r="Q258" s="63">
        <v>30000</v>
      </c>
    </row>
    <row r="259" spans="2:17">
      <c r="B259" s="62"/>
      <c r="C259" s="49" t="s">
        <v>123</v>
      </c>
      <c r="D259" s="60" t="s">
        <v>120</v>
      </c>
      <c r="E259" s="43">
        <f t="shared" si="18"/>
        <v>88000</v>
      </c>
      <c r="F259" s="63"/>
      <c r="G259" s="63"/>
      <c r="H259" s="63"/>
      <c r="I259" s="63"/>
      <c r="J259" s="63"/>
      <c r="K259" s="63"/>
      <c r="L259" s="63"/>
      <c r="M259" s="63"/>
      <c r="N259" s="63">
        <v>22000</v>
      </c>
      <c r="O259" s="63">
        <v>22000</v>
      </c>
      <c r="P259" s="63">
        <v>22000</v>
      </c>
      <c r="Q259" s="63">
        <v>22000</v>
      </c>
    </row>
    <row r="260" spans="2:17">
      <c r="B260" s="62"/>
      <c r="C260" s="49" t="s">
        <v>123</v>
      </c>
      <c r="D260" s="60" t="s">
        <v>121</v>
      </c>
      <c r="E260" s="43">
        <f t="shared" si="18"/>
        <v>120000</v>
      </c>
      <c r="F260" s="63"/>
      <c r="G260" s="63"/>
      <c r="H260" s="63"/>
      <c r="I260" s="63"/>
      <c r="J260" s="63"/>
      <c r="K260" s="63"/>
      <c r="L260" s="63"/>
      <c r="M260" s="63"/>
      <c r="N260" s="63">
        <v>30000</v>
      </c>
      <c r="O260" s="63">
        <v>30000</v>
      </c>
      <c r="P260" s="63">
        <v>30000</v>
      </c>
      <c r="Q260" s="63">
        <v>30000</v>
      </c>
    </row>
    <row r="261" spans="2:17">
      <c r="B261" s="62"/>
      <c r="C261" s="49" t="s">
        <v>124</v>
      </c>
      <c r="D261" s="60" t="s">
        <v>125</v>
      </c>
      <c r="E261" s="43">
        <f t="shared" si="18"/>
        <v>4000</v>
      </c>
      <c r="F261" s="63"/>
      <c r="G261" s="63"/>
      <c r="H261" s="63"/>
      <c r="I261" s="63"/>
      <c r="J261" s="63"/>
      <c r="K261" s="63"/>
      <c r="L261" s="63"/>
      <c r="M261" s="63"/>
      <c r="N261" s="63">
        <v>1000</v>
      </c>
      <c r="O261" s="63">
        <v>1000</v>
      </c>
      <c r="P261" s="63">
        <v>1000</v>
      </c>
      <c r="Q261" s="63">
        <v>1000</v>
      </c>
    </row>
    <row r="262" spans="2:17">
      <c r="B262" s="62"/>
      <c r="C262" s="49" t="s">
        <v>126</v>
      </c>
      <c r="D262" s="60" t="s">
        <v>127</v>
      </c>
      <c r="E262" s="43">
        <f t="shared" si="18"/>
        <v>36000</v>
      </c>
      <c r="F262" s="63"/>
      <c r="G262" s="63"/>
      <c r="H262" s="63"/>
      <c r="I262" s="63"/>
      <c r="J262" s="63"/>
      <c r="K262" s="63"/>
      <c r="L262" s="63"/>
      <c r="M262" s="63"/>
      <c r="N262" s="63">
        <v>9000</v>
      </c>
      <c r="O262" s="63">
        <v>9000</v>
      </c>
      <c r="P262" s="63">
        <v>9000</v>
      </c>
      <c r="Q262" s="63">
        <v>9000</v>
      </c>
    </row>
    <row r="263" spans="2:17">
      <c r="B263" s="62"/>
      <c r="C263" s="49"/>
      <c r="D263" s="60"/>
      <c r="E263" s="4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</row>
    <row r="264" spans="2:17">
      <c r="B264" s="62"/>
      <c r="C264" s="49"/>
      <c r="D264" s="60"/>
      <c r="E264" s="4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</row>
    <row r="265" spans="2:17">
      <c r="B265" s="62"/>
      <c r="C265" s="49"/>
      <c r="D265" s="60"/>
      <c r="E265" s="43"/>
      <c r="F265" s="63"/>
      <c r="G265" s="43"/>
      <c r="H265" s="63"/>
      <c r="I265" s="43"/>
      <c r="J265" s="63"/>
      <c r="K265" s="43"/>
      <c r="L265" s="63"/>
      <c r="M265" s="43"/>
      <c r="N265" s="63"/>
      <c r="O265" s="43"/>
      <c r="P265" s="63"/>
      <c r="Q265" s="63"/>
    </row>
    <row r="266" spans="2:17">
      <c r="B266" s="48"/>
      <c r="C266" s="49"/>
      <c r="D266" s="42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</row>
    <row r="267" spans="2:17">
      <c r="B267" s="48"/>
      <c r="C267" s="49"/>
      <c r="D267" s="42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</row>
    <row r="268" spans="2:17">
      <c r="B268" s="48"/>
      <c r="C268" s="49"/>
      <c r="D268" s="42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</row>
    <row r="269" spans="2:17">
      <c r="B269" s="48"/>
      <c r="C269" s="49"/>
      <c r="D269" s="42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</row>
    <row r="270" spans="2:17">
      <c r="B270" s="48"/>
      <c r="C270" s="49"/>
      <c r="D270" s="42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</row>
    <row r="271" spans="2:17" ht="17.399999999999999" thickBot="1">
      <c r="B271" s="48"/>
      <c r="C271" s="49"/>
      <c r="D271" s="42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</row>
    <row r="272" spans="2:17" ht="17.399999999999999" thickBot="1">
      <c r="B272" s="81" t="s">
        <v>41</v>
      </c>
      <c r="C272" s="81"/>
      <c r="D272" s="81"/>
      <c r="E272" s="82">
        <f>SUM(E257:E271)</f>
        <v>386696</v>
      </c>
      <c r="F272" s="80">
        <f>SUM(F257:F271)</f>
        <v>0</v>
      </c>
      <c r="G272" s="74">
        <f t="shared" ref="G272:Q272" si="19">SUM(G257:G271)</f>
        <v>0</v>
      </c>
      <c r="H272" s="74">
        <f t="shared" si="19"/>
        <v>0</v>
      </c>
      <c r="I272" s="74">
        <f t="shared" si="19"/>
        <v>0</v>
      </c>
      <c r="J272" s="74">
        <f t="shared" si="19"/>
        <v>0</v>
      </c>
      <c r="K272" s="74">
        <f t="shared" si="19"/>
        <v>0</v>
      </c>
      <c r="L272" s="74">
        <f t="shared" si="19"/>
        <v>0</v>
      </c>
      <c r="M272" s="74">
        <f t="shared" si="19"/>
        <v>0</v>
      </c>
      <c r="N272" s="74">
        <f t="shared" si="19"/>
        <v>96674</v>
      </c>
      <c r="O272" s="74">
        <f t="shared" si="19"/>
        <v>96674</v>
      </c>
      <c r="P272" s="74">
        <f t="shared" si="19"/>
        <v>96674</v>
      </c>
      <c r="Q272" s="74">
        <f t="shared" si="19"/>
        <v>96674</v>
      </c>
    </row>
    <row r="273" spans="2:10" ht="17.399999999999999" thickBot="1"/>
    <row r="274" spans="2:10" ht="17.399999999999999" thickBot="1">
      <c r="B274" s="81" t="s">
        <v>58</v>
      </c>
      <c r="C274" s="185" t="s">
        <v>106</v>
      </c>
      <c r="D274" s="186"/>
      <c r="E274" s="186"/>
      <c r="F274" s="186"/>
      <c r="G274" s="186"/>
      <c r="H274" s="186"/>
      <c r="I274" s="186"/>
      <c r="J274" s="187"/>
    </row>
  </sheetData>
  <protectedRanges>
    <protectedRange sqref="D46:D47 I47" name="Rango32"/>
    <protectedRange sqref="N19:N20 N17" name="Rango2"/>
    <protectedRange sqref="E28:Q32 E34:Q39" name="Rango3"/>
    <protectedRange sqref="F40:K42 M40:Q42" name="Rango4"/>
    <protectedRange sqref="C56:N56 R50:S51 K54:N55 C54:I55 C66:I68 K57:N68 I50:I51 C58:I60 C62:I64" name="Rango6"/>
    <protectedRange sqref="D70" name="Rango8"/>
    <protectedRange sqref="G75:G76 D17" name="Rango11"/>
    <protectedRange sqref="E79" name="Rango12"/>
    <protectedRange sqref="D95:E95 H95:K95 D96:I96 K96 D97:K98" name="Rango13"/>
    <protectedRange sqref="D103" name="Rango14"/>
    <protectedRange sqref="B124:B129 B108:B117 J114:J127" name="Rango15"/>
    <protectedRange sqref="C124:C129 K118:K127" name="Rango17"/>
    <protectedRange sqref="B173:C182 B134:B140 B145:C154 B211:C220 B159:C168 C135:C140 B226:C235 B267:C271 B197:C201" name="Rango19"/>
    <protectedRange sqref="F226:Q235 F134:Q140 F146:Q154 F160:Q168 F211:Q220 F267:Q271 F145:P145 F159:M159 O159:Q159 F173:Q182 F197:Q201" name="Rango20"/>
    <protectedRange sqref="C274 C204" name="Rango31"/>
    <protectedRange sqref="G46" name="Rango10_1"/>
    <protectedRange sqref="I46" name="Rango10_2_1"/>
    <protectedRange sqref="C50:F50" name="Rango6_1"/>
    <protectedRange sqref="C51:F51" name="Rango6_2"/>
    <protectedRange sqref="L50:O51" name="Rango6_3"/>
    <protectedRange sqref="F95:G95" name="Rango13_1"/>
    <protectedRange sqref="K117" name="Rango17_2"/>
    <protectedRange sqref="K114:K116" name="Rango27_1"/>
    <protectedRange sqref="Q145" name="Rango20_1"/>
    <protectedRange sqref="N159" name="Rango20_2"/>
    <protectedRange sqref="B250:C250 C241:C249" name="Rango19_1"/>
    <protectedRange sqref="F250:Q250" name="Rango20_3"/>
    <protectedRange sqref="B241:B249" name="Rango27"/>
    <protectedRange sqref="D241:D249" name="Rango27_1_1"/>
    <protectedRange sqref="F241:Q249" name="Rango28"/>
    <protectedRange sqref="B266:C266 C257:C265 J108:J113 B196:C196 C187:C195" name="Rango19_3"/>
    <protectedRange sqref="F266:Q266 F196:Q196" name="Rango20_5"/>
    <protectedRange sqref="B257:B265 B187:B195" name="Rango27_3"/>
    <protectedRange sqref="D257:D265 K108:K113 D187:D195" name="Rango27_1_3"/>
    <protectedRange sqref="F265 H265 J265 L265 N265 P265 F257:P264 Q257:Q265 F195 H195 J195 L195 N195 P195 F187:P194 Q187:Q195" name="Rango28_2"/>
  </protectedRanges>
  <mergeCells count="143">
    <mergeCell ref="B185:E185"/>
    <mergeCell ref="C204:J204"/>
    <mergeCell ref="G7:K7"/>
    <mergeCell ref="B255:E255"/>
    <mergeCell ref="C274:J274"/>
    <mergeCell ref="J93:K93"/>
    <mergeCell ref="B171:E171"/>
    <mergeCell ref="B239:E239"/>
    <mergeCell ref="B99:J101"/>
    <mergeCell ref="H93:I93"/>
    <mergeCell ref="B97:C97"/>
    <mergeCell ref="F93:G93"/>
    <mergeCell ref="B106:D106"/>
    <mergeCell ref="B224:E224"/>
    <mergeCell ref="B120:D120"/>
    <mergeCell ref="B132:E132"/>
    <mergeCell ref="B143:E143"/>
    <mergeCell ref="B157:E157"/>
    <mergeCell ref="B209:E209"/>
    <mergeCell ref="D95:E95"/>
    <mergeCell ref="D96:E96"/>
    <mergeCell ref="D97:E97"/>
    <mergeCell ref="B103:C103"/>
    <mergeCell ref="D103:Q103"/>
    <mergeCell ref="D94:E94"/>
    <mergeCell ref="F94:G94"/>
    <mergeCell ref="D98:E98"/>
    <mergeCell ref="B13:Q13"/>
    <mergeCell ref="N21:Q21"/>
    <mergeCell ref="N19:Q19"/>
    <mergeCell ref="N22:Q22"/>
    <mergeCell ref="N20:Q20"/>
    <mergeCell ref="B15:C15"/>
    <mergeCell ref="J106:L106"/>
    <mergeCell ref="B31:D31"/>
    <mergeCell ref="E31:Q31"/>
    <mergeCell ref="B32:D32"/>
    <mergeCell ref="E32:Q32"/>
    <mergeCell ref="B33:D33"/>
    <mergeCell ref="B28:D28"/>
    <mergeCell ref="E28:Q28"/>
    <mergeCell ref="B29:D29"/>
    <mergeCell ref="E29:Q29"/>
    <mergeCell ref="B30:D30"/>
    <mergeCell ref="E30:Q30"/>
    <mergeCell ref="B37:D37"/>
    <mergeCell ref="E37:Q37"/>
    <mergeCell ref="B38:D38"/>
    <mergeCell ref="E38:Q38"/>
    <mergeCell ref="B39:D39"/>
    <mergeCell ref="E39:Q39"/>
    <mergeCell ref="B92:E92"/>
    <mergeCell ref="B93:C93"/>
    <mergeCell ref="D93:E93"/>
    <mergeCell ref="B98:C98"/>
    <mergeCell ref="B61:D61"/>
    <mergeCell ref="O54:O55"/>
    <mergeCell ref="P54:Q55"/>
    <mergeCell ref="C54:I54"/>
    <mergeCell ref="J54:J55"/>
    <mergeCell ref="C87:E87"/>
    <mergeCell ref="G76:H76"/>
    <mergeCell ref="B70:C70"/>
    <mergeCell ref="D70:Q70"/>
    <mergeCell ref="E74:F74"/>
    <mergeCell ref="E75:F75"/>
    <mergeCell ref="G74:H74"/>
    <mergeCell ref="G75:H75"/>
    <mergeCell ref="E76:F76"/>
    <mergeCell ref="E79:H83"/>
    <mergeCell ref="F95:G95"/>
    <mergeCell ref="F96:G96"/>
    <mergeCell ref="F97:G97"/>
    <mergeCell ref="F98:G98"/>
    <mergeCell ref="B94:C94"/>
    <mergeCell ref="B95:C95"/>
    <mergeCell ref="B96:C96"/>
    <mergeCell ref="H94:I94"/>
    <mergeCell ref="H95:I95"/>
    <mergeCell ref="H96:I96"/>
    <mergeCell ref="H97:I97"/>
    <mergeCell ref="H98:I98"/>
    <mergeCell ref="B10:K10"/>
    <mergeCell ref="B11:K11"/>
    <mergeCell ref="G44:J44"/>
    <mergeCell ref="C50:F50"/>
    <mergeCell ref="C51:F51"/>
    <mergeCell ref="I50:I51"/>
    <mergeCell ref="F47:G47"/>
    <mergeCell ref="K17:M17"/>
    <mergeCell ref="K15:Q16"/>
    <mergeCell ref="F40:K40"/>
    <mergeCell ref="M40:Q40"/>
    <mergeCell ref="K22:M22"/>
    <mergeCell ref="K21:M21"/>
    <mergeCell ref="K20:M20"/>
    <mergeCell ref="K19:M19"/>
    <mergeCell ref="K18:Q18"/>
    <mergeCell ref="N17:Q17"/>
    <mergeCell ref="B17:C17"/>
    <mergeCell ref="G50:G51"/>
    <mergeCell ref="B44:D44"/>
    <mergeCell ref="B45:C45"/>
    <mergeCell ref="B46:C46"/>
    <mergeCell ref="P50:P51"/>
    <mergeCell ref="B27:Q27"/>
    <mergeCell ref="U50:V51"/>
    <mergeCell ref="L50:O50"/>
    <mergeCell ref="L51:O51"/>
    <mergeCell ref="B34:D34"/>
    <mergeCell ref="E34:Q34"/>
    <mergeCell ref="B35:D35"/>
    <mergeCell ref="E35:Q35"/>
    <mergeCell ref="B36:D36"/>
    <mergeCell ref="E36:Q36"/>
    <mergeCell ref="B47:C47"/>
    <mergeCell ref="B49:D49"/>
    <mergeCell ref="B41:D41"/>
    <mergeCell ref="F41:K41"/>
    <mergeCell ref="M41:Q41"/>
    <mergeCell ref="B42:D42"/>
    <mergeCell ref="F42:K42"/>
    <mergeCell ref="M42:Q42"/>
    <mergeCell ref="B57:D57"/>
    <mergeCell ref="C58:I58"/>
    <mergeCell ref="J58:J59"/>
    <mergeCell ref="C59:I59"/>
    <mergeCell ref="E33:Q33"/>
    <mergeCell ref="K58:K59"/>
    <mergeCell ref="K62:K63"/>
    <mergeCell ref="K66:K67"/>
    <mergeCell ref="C62:I62"/>
    <mergeCell ref="J62:J63"/>
    <mergeCell ref="C63:I63"/>
    <mergeCell ref="B65:D65"/>
    <mergeCell ref="C66:I66"/>
    <mergeCell ref="J66:J67"/>
    <mergeCell ref="C67:I67"/>
    <mergeCell ref="K54:K55"/>
    <mergeCell ref="C55:I55"/>
    <mergeCell ref="B40:D40"/>
    <mergeCell ref="K49:M49"/>
    <mergeCell ref="B53:D53"/>
  </mergeCells>
  <pageMargins left="0.25" right="0.25" top="0.75" bottom="0.75" header="0.3" footer="0.3"/>
  <pageSetup scale="37" fitToHeight="0" orientation="landscape" r:id="rId1"/>
  <rowBreaks count="3" manualBreakCount="3">
    <brk id="71" max="16383" man="1"/>
    <brk id="129" max="16383" man="1"/>
    <brk id="207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69" workbookViewId="0">
      <selection activeCell="L20" sqref="L20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XXXX</vt:lpstr>
      <vt:lpstr>Hoja1</vt:lpstr>
      <vt:lpstr>XXXX!Área_de_impresión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Ricardo García Dávila</dc:creator>
  <cp:lastModifiedBy>LUIS ANDRES RAMIREZ FRANCO</cp:lastModifiedBy>
  <cp:lastPrinted>2025-10-09T07:44:21Z</cp:lastPrinted>
  <dcterms:created xsi:type="dcterms:W3CDTF">2023-10-20T22:13:19Z</dcterms:created>
  <dcterms:modified xsi:type="dcterms:W3CDTF">2025-10-09T07:44:56Z</dcterms:modified>
</cp:coreProperties>
</file>